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E6014C9B-F87B-4E63-9445-A61263B65500}" xr6:coauthVersionLast="47" xr6:coauthVersionMax="47" xr10:uidLastSave="{00000000-0000-0000-0000-000000000000}"/>
  <bookViews>
    <workbookView xWindow="-120" yWindow="-120" windowWidth="29040" windowHeight="15720" tabRatio="878" activeTab="1" xr2:uid="{00000000-000D-0000-FFFF-FFFF00000000}"/>
  </bookViews>
  <sheets>
    <sheet name="INDOOR_led лифт" sheetId="1" r:id="rId1"/>
    <sheet name="АП - Астана ЖК" sheetId="12" r:id="rId2"/>
    <sheet name="АП - Астана БЦ" sheetId="16" r:id="rId3"/>
    <sheet name="АП - Алматы ЖК " sheetId="17" r:id="rId4"/>
    <sheet name="АП - Алматы БЦ" sheetId="1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61" i="12" l="1"/>
  <c r="G41" i="1"/>
  <c r="G40" i="1"/>
  <c r="G39" i="1"/>
  <c r="G20" i="1"/>
  <c r="H25" i="17" l="1"/>
  <c r="G25" i="17"/>
  <c r="F25" i="17"/>
  <c r="E25" i="17"/>
  <c r="G38" i="1"/>
  <c r="I38" i="1" s="1"/>
  <c r="M38" i="1" s="1"/>
  <c r="L38" i="1"/>
  <c r="F20" i="17" l="1"/>
  <c r="G20" i="17"/>
  <c r="H20" i="17"/>
  <c r="E20" i="17"/>
  <c r="G51" i="1" l="1"/>
  <c r="G50" i="1"/>
  <c r="G49" i="1"/>
  <c r="G48" i="1"/>
  <c r="G47" i="1"/>
  <c r="G46" i="1"/>
  <c r="G45" i="1"/>
  <c r="G43" i="1"/>
  <c r="G42" i="1"/>
  <c r="I39" i="1"/>
  <c r="G37" i="1"/>
  <c r="G36" i="1"/>
  <c r="G34" i="1"/>
  <c r="G33" i="1"/>
  <c r="G32" i="1"/>
  <c r="G31" i="1"/>
  <c r="G30" i="1"/>
  <c r="G29" i="1"/>
  <c r="I29" i="1" s="1"/>
  <c r="G28" i="1"/>
  <c r="I28" i="1" s="1"/>
  <c r="G27" i="1"/>
  <c r="I27" i="1" s="1"/>
  <c r="G26" i="1"/>
  <c r="G24" i="1"/>
  <c r="G23" i="1"/>
  <c r="G22" i="1"/>
  <c r="I22" i="1" s="1"/>
  <c r="M22" i="1" s="1"/>
  <c r="G21" i="1"/>
  <c r="I21" i="1" s="1"/>
  <c r="M21" i="1" s="1"/>
  <c r="G19" i="1"/>
  <c r="G18" i="1"/>
  <c r="G17" i="1"/>
  <c r="G16" i="1"/>
  <c r="G15" i="1"/>
  <c r="G14" i="1"/>
  <c r="G13" i="1"/>
  <c r="G12" i="1"/>
  <c r="G11" i="1"/>
  <c r="E97" i="12"/>
  <c r="L22" i="1"/>
  <c r="F146" i="12"/>
  <c r="H146" i="12"/>
  <c r="E146" i="12"/>
  <c r="H136" i="12"/>
  <c r="F136" i="12"/>
  <c r="E136" i="12"/>
  <c r="L21" i="1"/>
  <c r="F66" i="17" l="1"/>
  <c r="H59" i="17"/>
  <c r="E59" i="17"/>
  <c r="E66" i="17" s="1"/>
  <c r="H58" i="17"/>
  <c r="F56" i="17"/>
  <c r="E56" i="17"/>
  <c r="H56" i="17"/>
  <c r="H53" i="17"/>
  <c r="F53" i="17"/>
  <c r="E53" i="17"/>
  <c r="H45" i="17"/>
  <c r="F45" i="17"/>
  <c r="E45" i="17"/>
  <c r="H35" i="17"/>
  <c r="F35" i="17"/>
  <c r="E35" i="17"/>
  <c r="H10" i="17"/>
  <c r="F10" i="17"/>
  <c r="E10" i="17"/>
  <c r="E68" i="17" l="1"/>
  <c r="H66" i="17"/>
  <c r="H68" i="17" s="1"/>
  <c r="F68" i="17"/>
  <c r="L41" i="1" l="1"/>
  <c r="I41" i="1"/>
  <c r="M41" i="1" s="1"/>
  <c r="F11" i="16" l="1"/>
  <c r="D11" i="16"/>
  <c r="D9" i="16" l="1"/>
  <c r="M27" i="1"/>
  <c r="L27" i="1"/>
  <c r="H97" i="12"/>
  <c r="F97" i="12"/>
  <c r="H161" i="12" l="1"/>
  <c r="F161" i="12"/>
  <c r="I11" i="1" l="1"/>
  <c r="M11" i="1" s="1"/>
  <c r="L11" i="1"/>
  <c r="I12" i="1"/>
  <c r="M12" i="1" s="1"/>
  <c r="L12" i="1"/>
  <c r="I13" i="1"/>
  <c r="M13" i="1" s="1"/>
  <c r="L13" i="1"/>
  <c r="I14" i="1"/>
  <c r="M14" i="1" s="1"/>
  <c r="L14" i="1"/>
  <c r="I15" i="1"/>
  <c r="M15" i="1" s="1"/>
  <c r="L15" i="1"/>
  <c r="I16" i="1"/>
  <c r="M16" i="1" s="1"/>
  <c r="L16" i="1"/>
  <c r="I17" i="1"/>
  <c r="M17" i="1" s="1"/>
  <c r="L17" i="1"/>
  <c r="I18" i="1"/>
  <c r="M18" i="1" s="1"/>
  <c r="L18" i="1"/>
  <c r="I19" i="1"/>
  <c r="M19" i="1" s="1"/>
  <c r="L19" i="1"/>
  <c r="I20" i="1"/>
  <c r="M20" i="1" s="1"/>
  <c r="L20" i="1"/>
  <c r="I23" i="1"/>
  <c r="M23" i="1" s="1"/>
  <c r="L23" i="1"/>
  <c r="I24" i="1"/>
  <c r="M24" i="1" s="1"/>
  <c r="L24" i="1"/>
  <c r="F25" i="1"/>
  <c r="G25" i="1"/>
  <c r="I26" i="1"/>
  <c r="M26" i="1" s="1"/>
  <c r="L26" i="1"/>
  <c r="M28" i="1"/>
  <c r="L28" i="1"/>
  <c r="M29" i="1"/>
  <c r="L29" i="1"/>
  <c r="I30" i="1"/>
  <c r="M30" i="1" s="1"/>
  <c r="L30" i="1"/>
  <c r="I31" i="1"/>
  <c r="M31" i="1" s="1"/>
  <c r="L31" i="1"/>
  <c r="I32" i="1"/>
  <c r="M32" i="1" s="1"/>
  <c r="L32" i="1"/>
  <c r="I33" i="1"/>
  <c r="M33" i="1" s="1"/>
  <c r="L33" i="1"/>
  <c r="I34" i="1"/>
  <c r="M34" i="1" s="1"/>
  <c r="L34" i="1"/>
  <c r="F35" i="1"/>
  <c r="G35" i="1"/>
  <c r="L35" i="1" l="1"/>
  <c r="L25" i="1"/>
  <c r="M35" i="1"/>
  <c r="M25" i="1"/>
  <c r="I25" i="1"/>
  <c r="I35" i="1"/>
  <c r="G11" i="18" l="1"/>
  <c r="F11" i="18"/>
  <c r="D11" i="18"/>
  <c r="I47" i="1"/>
  <c r="M47" i="1" s="1"/>
  <c r="L47" i="1"/>
  <c r="I48" i="1"/>
  <c r="L51" i="1" l="1"/>
  <c r="I51" i="1"/>
  <c r="M51" i="1" s="1"/>
  <c r="E80" i="12" l="1"/>
  <c r="F44" i="1" l="1"/>
  <c r="G44" i="1"/>
  <c r="F52" i="1"/>
  <c r="G52" i="1"/>
  <c r="G53" i="1" l="1"/>
  <c r="F53" i="1"/>
  <c r="G7" i="18" l="1"/>
  <c r="F7" i="18"/>
  <c r="D7" i="18"/>
  <c r="L46" i="1"/>
  <c r="I46" i="1"/>
  <c r="M46" i="1" s="1"/>
  <c r="I43" i="1" l="1"/>
  <c r="M43" i="1" s="1"/>
  <c r="L43" i="1"/>
  <c r="G23" i="16" l="1"/>
  <c r="D23" i="16"/>
  <c r="G21" i="16"/>
  <c r="D21" i="16"/>
  <c r="G19" i="16"/>
  <c r="F19" i="16"/>
  <c r="D19" i="16"/>
  <c r="G17" i="16"/>
  <c r="F17" i="16"/>
  <c r="D17" i="16"/>
  <c r="G15" i="16"/>
  <c r="F15" i="16"/>
  <c r="D15" i="16"/>
  <c r="G13" i="16"/>
  <c r="D13" i="16"/>
  <c r="G7" i="16"/>
  <c r="D7" i="16"/>
  <c r="G25" i="16" l="1"/>
  <c r="D25" i="16"/>
  <c r="L45" i="1"/>
  <c r="L48" i="1"/>
  <c r="L49" i="1"/>
  <c r="I45" i="1"/>
  <c r="M45" i="1" s="1"/>
  <c r="M48" i="1"/>
  <c r="I49" i="1"/>
  <c r="M49" i="1" s="1"/>
  <c r="G13" i="18"/>
  <c r="F13" i="18"/>
  <c r="D13" i="18"/>
  <c r="G15" i="18"/>
  <c r="F15" i="18"/>
  <c r="D15" i="18"/>
  <c r="G17" i="18"/>
  <c r="F17" i="18"/>
  <c r="D17" i="18"/>
  <c r="G19" i="18"/>
  <c r="F19" i="18"/>
  <c r="D19" i="18"/>
  <c r="L37" i="1" l="1"/>
  <c r="I37" i="1"/>
  <c r="M37" i="1" s="1"/>
  <c r="M39" i="1"/>
  <c r="L39" i="1"/>
  <c r="H40" i="12" l="1"/>
  <c r="G40" i="12"/>
  <c r="F40" i="12"/>
  <c r="E40" i="12"/>
  <c r="E162" i="12" s="1"/>
  <c r="H127" i="12"/>
  <c r="G127" i="12"/>
  <c r="F127" i="12"/>
  <c r="E127" i="12"/>
  <c r="E112" i="12"/>
  <c r="F112" i="12"/>
  <c r="G112" i="12"/>
  <c r="H112" i="12"/>
  <c r="H104" i="12" l="1"/>
  <c r="H80" i="12"/>
  <c r="H68" i="12"/>
  <c r="H55" i="12"/>
  <c r="H24" i="12"/>
  <c r="H13" i="12"/>
  <c r="F104" i="12"/>
  <c r="F80" i="12"/>
  <c r="F68" i="12"/>
  <c r="F55" i="12"/>
  <c r="F24" i="12"/>
  <c r="F13" i="12"/>
  <c r="H150" i="12"/>
  <c r="G150" i="12"/>
  <c r="F150" i="12"/>
  <c r="E150" i="12"/>
  <c r="E104" i="12"/>
  <c r="E68" i="12"/>
  <c r="E55" i="12"/>
  <c r="E24" i="12"/>
  <c r="E13" i="12"/>
  <c r="G104" i="12"/>
  <c r="G80" i="12"/>
  <c r="G68" i="12"/>
  <c r="G55" i="12"/>
  <c r="G24" i="12"/>
  <c r="G13" i="12"/>
  <c r="G9" i="18"/>
  <c r="G21" i="18" s="1"/>
  <c r="D9" i="18"/>
  <c r="D21" i="18" s="1"/>
  <c r="F9" i="18"/>
  <c r="I36" i="1"/>
  <c r="I40" i="1"/>
  <c r="M40" i="1" s="1"/>
  <c r="I42" i="1"/>
  <c r="M42" i="1" s="1"/>
  <c r="I50" i="1"/>
  <c r="M50" i="1" s="1"/>
  <c r="L50" i="1"/>
  <c r="L40" i="1"/>
  <c r="L42" i="1"/>
  <c r="L36" i="1"/>
  <c r="F162" i="12" l="1"/>
  <c r="H162" i="12"/>
  <c r="M36" i="1"/>
  <c r="M44" i="1" s="1"/>
  <c r="I44" i="1"/>
  <c r="L52" i="1"/>
  <c r="L44" i="1"/>
  <c r="M52" i="1"/>
  <c r="I52" i="1"/>
  <c r="L53" i="1" l="1"/>
  <c r="M53" i="1"/>
  <c r="I53" i="1"/>
</calcChain>
</file>

<file path=xl/sharedStrings.xml><?xml version="1.0" encoding="utf-8"?>
<sst xmlns="http://schemas.openxmlformats.org/spreadsheetml/2006/main" count="766" uniqueCount="580">
  <si>
    <t>Город</t>
  </si>
  <si>
    <t>Скидка %</t>
  </si>
  <si>
    <t>Класс сектора</t>
  </si>
  <si>
    <t>Диагональ монитора</t>
  </si>
  <si>
    <t>15.6 дюймов (40см)</t>
  </si>
  <si>
    <t>Премиум</t>
  </si>
  <si>
    <t>Название ЖК</t>
  </si>
  <si>
    <t>Адрес ЖК/ район</t>
  </si>
  <si>
    <t>Общее количество</t>
  </si>
  <si>
    <t>квартир</t>
  </si>
  <si>
    <t>Нур Канат</t>
  </si>
  <si>
    <t>Олимп Палас</t>
  </si>
  <si>
    <t>Олимп Палас II</t>
  </si>
  <si>
    <t>18</t>
  </si>
  <si>
    <t>Отандастар</t>
  </si>
  <si>
    <t>Коркем 1</t>
  </si>
  <si>
    <t>Айсанам</t>
  </si>
  <si>
    <t>Айнур-Астана</t>
  </si>
  <si>
    <t>23</t>
  </si>
  <si>
    <t>16</t>
  </si>
  <si>
    <t>Итого:</t>
  </si>
  <si>
    <t>9</t>
  </si>
  <si>
    <t>Инфинити 1</t>
  </si>
  <si>
    <t>Инфинити 2</t>
  </si>
  <si>
    <t>Алматау</t>
  </si>
  <si>
    <t>Радуга</t>
  </si>
  <si>
    <t>Алтын Шар</t>
  </si>
  <si>
    <t>Улытау</t>
  </si>
  <si>
    <t>Самрук</t>
  </si>
  <si>
    <t>Жагалау</t>
  </si>
  <si>
    <t>Титаник</t>
  </si>
  <si>
    <t>Сана</t>
  </si>
  <si>
    <t>Edel</t>
  </si>
  <si>
    <t>Болашак</t>
  </si>
  <si>
    <t>Арман</t>
  </si>
  <si>
    <t>Каминный</t>
  </si>
  <si>
    <t>19</t>
  </si>
  <si>
    <t>Шапагат Нуры</t>
  </si>
  <si>
    <t>Золотой</t>
  </si>
  <si>
    <t>Сарыарка 8/1</t>
  </si>
  <si>
    <t>Фортуна</t>
  </si>
  <si>
    <t>11</t>
  </si>
  <si>
    <t>Бурлин 1</t>
  </si>
  <si>
    <t>Авангард</t>
  </si>
  <si>
    <t>Европейский 1</t>
  </si>
  <si>
    <t>Европейский 2</t>
  </si>
  <si>
    <t>Целиноград 1</t>
  </si>
  <si>
    <t>Целиноград 3</t>
  </si>
  <si>
    <t>Наз-Коныр</t>
  </si>
  <si>
    <t>Запад</t>
  </si>
  <si>
    <t>12</t>
  </si>
  <si>
    <t>Сайран</t>
  </si>
  <si>
    <t>Джунгарские Ворота</t>
  </si>
  <si>
    <t>Барыс</t>
  </si>
  <si>
    <t>Баян Сулу</t>
  </si>
  <si>
    <t>10</t>
  </si>
  <si>
    <t>Нажимеденова 16/ р-н Алматы</t>
  </si>
  <si>
    <t>7</t>
  </si>
  <si>
    <t>Азия-плюс</t>
  </si>
  <si>
    <t>Кахарман</t>
  </si>
  <si>
    <t>Алтын Гасыр</t>
  </si>
  <si>
    <t>Евразия</t>
  </si>
  <si>
    <t>Астана Меруерт</t>
  </si>
  <si>
    <t>17</t>
  </si>
  <si>
    <t>Аксу</t>
  </si>
  <si>
    <t>Сезам</t>
  </si>
  <si>
    <t>уд. Кенесары 51/р-он Байқоныр</t>
  </si>
  <si>
    <t>Коркем 2</t>
  </si>
  <si>
    <t>Аруна</t>
  </si>
  <si>
    <t>Итальянский квартал</t>
  </si>
  <si>
    <t>6--7</t>
  </si>
  <si>
    <t>Французский квартал</t>
  </si>
  <si>
    <t>Калдаякова 2, 2/2/ р-н Алматы</t>
  </si>
  <si>
    <t>Нурсая-2</t>
  </si>
  <si>
    <t>13</t>
  </si>
  <si>
    <t>Водно-Зеленый Бульвар</t>
  </si>
  <si>
    <t>Дипломат</t>
  </si>
  <si>
    <t>Арайлым</t>
  </si>
  <si>
    <t>Версаль</t>
  </si>
  <si>
    <t>Визит</t>
  </si>
  <si>
    <t>Тулпар</t>
  </si>
  <si>
    <t>Центр Межд-ной Торговли</t>
  </si>
  <si>
    <t>Янтарный</t>
  </si>
  <si>
    <t>6</t>
  </si>
  <si>
    <t>Оркен de luxe 2</t>
  </si>
  <si>
    <t>Оркен de luxe 3</t>
  </si>
  <si>
    <t>Жетіген</t>
  </si>
  <si>
    <t>Город 72</t>
  </si>
  <si>
    <t>6--16</t>
  </si>
  <si>
    <t>Период:</t>
  </si>
  <si>
    <t>Медиа:</t>
  </si>
  <si>
    <t>Город:</t>
  </si>
  <si>
    <t>Бренд:</t>
  </si>
  <si>
    <t>Кол-во мониторов по секторам</t>
  </si>
  <si>
    <t>Хроно, сек</t>
  </si>
  <si>
    <t xml:space="preserve">Комфорт-1 </t>
  </si>
  <si>
    <t xml:space="preserve">Комфорт-2 </t>
  </si>
  <si>
    <t>Сектор</t>
  </si>
  <si>
    <t>Мониторов</t>
  </si>
  <si>
    <t>Подъездов</t>
  </si>
  <si>
    <t>Этажей</t>
  </si>
  <si>
    <t xml:space="preserve">Бизнес-1 </t>
  </si>
  <si>
    <t xml:space="preserve">Бизнес-2 </t>
  </si>
  <si>
    <t>Итого по всем секторам:</t>
  </si>
  <si>
    <t>Элит</t>
  </si>
  <si>
    <t>Дельфин 2</t>
  </si>
  <si>
    <t>Триумф Астаны</t>
  </si>
  <si>
    <t>Кабанбай Б. 13/ р-н Есіл</t>
  </si>
  <si>
    <t>39</t>
  </si>
  <si>
    <t>8</t>
  </si>
  <si>
    <t>Триумфальный</t>
  </si>
  <si>
    <t>Астана</t>
  </si>
  <si>
    <t>Алматы</t>
  </si>
  <si>
    <t>15.6 дюймов (40 см)</t>
  </si>
  <si>
    <t>Долина Роз</t>
  </si>
  <si>
    <t>Мечта на Минина</t>
  </si>
  <si>
    <t>Молодежный</t>
  </si>
  <si>
    <t>Жастар Атамекен</t>
  </si>
  <si>
    <t>Алматы Тауэрс</t>
  </si>
  <si>
    <t>NS tower</t>
  </si>
  <si>
    <t>Длительность роликов 15 секунд, на казахском и русском языках / 1 выход каждую 5-ю минуту</t>
  </si>
  <si>
    <t>Бизнес центр</t>
  </si>
  <si>
    <t>Адрес БЦ/ район</t>
  </si>
  <si>
    <t>Мониторы в лифтах</t>
  </si>
  <si>
    <t>Мониторы в холлах</t>
  </si>
  <si>
    <t>Организаций</t>
  </si>
  <si>
    <t>Emerald Tower</t>
  </si>
  <si>
    <t>​улица Динмухамед Конаев, 10</t>
  </si>
  <si>
    <t>37</t>
  </si>
  <si>
    <t>Круглая площадь блок "А"</t>
  </si>
  <si>
    <t>проспект Кабанбай батыр, 19 блок А</t>
  </si>
  <si>
    <t>Nursaya Deluxe</t>
  </si>
  <si>
    <t>​улица Достык, 13/3</t>
  </si>
  <si>
    <t>Geneva Downtown</t>
  </si>
  <si>
    <t>​проспект Ракымжан Кошкарбаев, 1/5</t>
  </si>
  <si>
    <t>Итого по всем БЦ:</t>
  </si>
  <si>
    <t xml:space="preserve">21.5 дюймов (55 см) и 43 дюйма (110 см) </t>
  </si>
  <si>
    <t>INDOOR</t>
  </si>
  <si>
    <t>21.5 дюймов (55 см)</t>
  </si>
  <si>
    <t xml:space="preserve">43 дюйма (110 см) </t>
  </si>
  <si>
    <t>Кол-во дней</t>
  </si>
  <si>
    <t>Кол-во выходов в день на одном мониторе</t>
  </si>
  <si>
    <t>Общее кол-во выходов</t>
  </si>
  <si>
    <t>Фантазия</t>
  </si>
  <si>
    <t>Розыбакиева 281</t>
  </si>
  <si>
    <t>Астана, Алматы</t>
  </si>
  <si>
    <t>Нурсаует 2</t>
  </si>
  <si>
    <t>​улица Иманова, 13</t>
  </si>
  <si>
    <t>Триумф</t>
  </si>
  <si>
    <t>Алма Ата</t>
  </si>
  <si>
    <t>​улица Иманова, 19</t>
  </si>
  <si>
    <t>Европолис</t>
  </si>
  <si>
    <t>Atameken Business</t>
  </si>
  <si>
    <t>проспект Кабанбай батыр, 17 блок Е</t>
  </si>
  <si>
    <t>5--40</t>
  </si>
  <si>
    <t>БЦ Emerald Tower</t>
  </si>
  <si>
    <t xml:space="preserve">БЦ Круглая площадь </t>
  </si>
  <si>
    <t>БЦ Nursaya Deluxe</t>
  </si>
  <si>
    <t>БЦ Geneva Downtown</t>
  </si>
  <si>
    <t>БЦ Нурсаулет 2</t>
  </si>
  <si>
    <t>БЦ Алма Ата</t>
  </si>
  <si>
    <t>БЦ Atameken Business</t>
  </si>
  <si>
    <t>ЖК Комфорт 1</t>
  </si>
  <si>
    <t>ЖК Комфорт 2</t>
  </si>
  <si>
    <t>ЖК Комфорт 3</t>
  </si>
  <si>
    <t>ЖК Комфорт 4</t>
  </si>
  <si>
    <t>ЖК Комфорт 5</t>
  </si>
  <si>
    <t>ЖК Комфорт 6</t>
  </si>
  <si>
    <t>ЖК Бизнес 2</t>
  </si>
  <si>
    <t>ЖК Элит</t>
  </si>
  <si>
    <t>ЖК Бизнес 1</t>
  </si>
  <si>
    <t>Terracotta</t>
  </si>
  <si>
    <t>Итого: ЖК Астана</t>
  </si>
  <si>
    <t>Итого: БЦ Астана</t>
  </si>
  <si>
    <t>Итого: ЖК Алматы</t>
  </si>
  <si>
    <t>Комфорт-5</t>
  </si>
  <si>
    <t xml:space="preserve">Евразия </t>
  </si>
  <si>
    <t>City Plus</t>
  </si>
  <si>
    <t>Smart house</t>
  </si>
  <si>
    <t>Шевченко 192</t>
  </si>
  <si>
    <t>Досмухамедова 43</t>
  </si>
  <si>
    <t>Алма-Ата</t>
  </si>
  <si>
    <t>12--15</t>
  </si>
  <si>
    <t>Панорама</t>
  </si>
  <si>
    <t>10--15</t>
  </si>
  <si>
    <t>Керемет</t>
  </si>
  <si>
    <t>15--16</t>
  </si>
  <si>
    <t>18--20</t>
  </si>
  <si>
    <t>Тулебаева, 49/1 </t>
  </si>
  <si>
    <t xml:space="preserve">БЦ Grand Asia B </t>
  </si>
  <si>
    <t>БЦ Алтын Заман</t>
  </si>
  <si>
    <t>БЦ Учет KZ</t>
  </si>
  <si>
    <t>Итого: БЦ Алматы</t>
  </si>
  <si>
    <t>Улица Толе би 285/8 к1-11</t>
  </si>
  <si>
    <t>Улица Толе би, 273/5</t>
  </si>
  <si>
    <t>Улица Минина, 24</t>
  </si>
  <si>
    <t>Улица Шевченко, 85</t>
  </si>
  <si>
    <t>Улица Мауленова, 111</t>
  </si>
  <si>
    <t>Проспект Достык 160, 162</t>
  </si>
  <si>
    <t>Проспект Сейфуллина, 580</t>
  </si>
  <si>
    <t>Микрорайон Самал-2, 105</t>
  </si>
  <si>
    <t>Микрорайон Самал-2, 63</t>
  </si>
  <si>
    <t>Улица Розыбакиева, 281</t>
  </si>
  <si>
    <t>Улица Шевченко, 192</t>
  </si>
  <si>
    <t>Умбетбаева 77</t>
  </si>
  <si>
    <t xml:space="preserve">улица Умбетбаева, 77 </t>
  </si>
  <si>
    <t xml:space="preserve">Улица Досмухамедова, 43 </t>
  </si>
  <si>
    <t>ZODIAC</t>
  </si>
  <si>
    <t>Улица Радостовца, 158, 158/1</t>
  </si>
  <si>
    <t>Улица Навои, 7</t>
  </si>
  <si>
    <t>Проспект Гагарина, 66Б</t>
  </si>
  <si>
    <t xml:space="preserve">Улица Тулебаева, 49/1 </t>
  </si>
  <si>
    <t>Проспект Абая, 164, 164/1-164/12</t>
  </si>
  <si>
    <t>Микрорайон Мирас, 53-64</t>
  </si>
  <si>
    <t>Улица Омаровой 33, 37, 25/1</t>
  </si>
  <si>
    <t>Самал Де Люкс</t>
  </si>
  <si>
    <t>Проспект Достык, 97Б</t>
  </si>
  <si>
    <t xml:space="preserve">Grand Asia B </t>
  </si>
  <si>
    <t>​Улица Жумалиева, 86</t>
  </si>
  <si>
    <t xml:space="preserve">Проспект Абая, 52 к2 </t>
  </si>
  <si>
    <t>Алтын Заман</t>
  </si>
  <si>
    <t>​Проспект Сейфуллина, 498</t>
  </si>
  <si>
    <t>Учет KZ</t>
  </si>
  <si>
    <t xml:space="preserve">Улица Жарокова, 41 </t>
  </si>
  <si>
    <t>Улица Алихан Бокейхан, 8</t>
  </si>
  <si>
    <t>14</t>
  </si>
  <si>
    <t>Улица Туркестан, 8, 8/1, 8/2</t>
  </si>
  <si>
    <t>12--16</t>
  </si>
  <si>
    <t>Улица Керей-Жанибек хандар, 22</t>
  </si>
  <si>
    <t>Улица Алматы, 13</t>
  </si>
  <si>
    <t>Проспект Мангилик Ел, 17</t>
  </si>
  <si>
    <t>Проспект Мангилик Ел, 19</t>
  </si>
  <si>
    <t>Улица Орынбор, 1 Блок А, Блок Б</t>
  </si>
  <si>
    <t>22</t>
  </si>
  <si>
    <t>Градокомплекс 1</t>
  </si>
  <si>
    <t>Улица Сауран, 9, 9А, 9Б</t>
  </si>
  <si>
    <t>Градокомплекс 3</t>
  </si>
  <si>
    <t>Улица Сауран, 7, 7А, 7Б, 7Г</t>
  </si>
  <si>
    <t>Градокомплекс 6</t>
  </si>
  <si>
    <t>Улица Сауран, 12/1, 12/2</t>
  </si>
  <si>
    <t>Проспект Кабанбай батыр, 40</t>
  </si>
  <si>
    <t>Проспект Кабанбай батыр, 42</t>
  </si>
  <si>
    <t>Проспект Кабанбай батыр, 29, 29/2</t>
  </si>
  <si>
    <t>9--20</t>
  </si>
  <si>
    <t>Проспект Кабанбай батыр, 5/1</t>
  </si>
  <si>
    <t>TORONTO</t>
  </si>
  <si>
    <t>Улица Алматы, 2</t>
  </si>
  <si>
    <t>Проспект Туран, 55/1</t>
  </si>
  <si>
    <t>Проспект Туран, 55/2</t>
  </si>
  <si>
    <t>Улица Кенесары, 1</t>
  </si>
  <si>
    <t>Улица Тарас Шевченко, 10, 10/1, 10/2</t>
  </si>
  <si>
    <t>9--12</t>
  </si>
  <si>
    <t>Проспект Женис, 3​ - улица Ирченко, 12</t>
  </si>
  <si>
    <t>Улица Тарас Шевченко, 8, 8/1, 8/2</t>
  </si>
  <si>
    <t>13--24</t>
  </si>
  <si>
    <t>Проспект Сарыарка, 5</t>
  </si>
  <si>
    <t>Проспект Сарыарка, 3</t>
  </si>
  <si>
    <t>Проспект Женис, 1</t>
  </si>
  <si>
    <t>Улица Кенесары, 69, 69А</t>
  </si>
  <si>
    <t>12--17</t>
  </si>
  <si>
    <t>7 Континент блок А</t>
  </si>
  <si>
    <t>Улица Иманбаевой, 11</t>
  </si>
  <si>
    <t>7 Континент блок Б</t>
  </si>
  <si>
    <t>Улица Иманбаевой, 9</t>
  </si>
  <si>
    <t>7 Континент блок С</t>
  </si>
  <si>
    <t>Улица Баянауыл, 1</t>
  </si>
  <si>
    <t>7 Континент блок Е</t>
  </si>
  <si>
    <t>Улица Малика Габдуллина, 18​ - улица Иманбаевой, 11А</t>
  </si>
  <si>
    <t>Улица Кенесары, 42, 42/1, 44, 46</t>
  </si>
  <si>
    <t>Улица Кенесары, 45</t>
  </si>
  <si>
    <t xml:space="preserve">Улица Ирченко, 31 - проспект Сарыарка, 8/1 </t>
  </si>
  <si>
    <t xml:space="preserve">Улица Кенесары, 47 </t>
  </si>
  <si>
    <t xml:space="preserve">Проспект Сарыарка, 15 </t>
  </si>
  <si>
    <t>Улица Сакен Сейфуллин, 8</t>
  </si>
  <si>
    <t>Улица Боталы, 26 , 26/1, 26/2, 26/3, 26/4</t>
  </si>
  <si>
    <t>10--24</t>
  </si>
  <si>
    <t>Улица Степана Кубрина, 23/1</t>
  </si>
  <si>
    <t>Улица Кенжебек Кумисбеков, 9/1</t>
  </si>
  <si>
    <t>Улица Кенжебек Кумисбеков, 9/2</t>
  </si>
  <si>
    <t>Сапа 2007</t>
  </si>
  <si>
    <t>Улица Шәймерден Қосшығұлұлы, 7</t>
  </si>
  <si>
    <t>Улица Ермек Серкебаев, 25</t>
  </si>
  <si>
    <t>Проспект Сарыарка, 31/2</t>
  </si>
  <si>
    <t>Улица Степана Кубрина, 20/1</t>
  </si>
  <si>
    <t>Улица Сакен Сейфуллин, 9, 9/1</t>
  </si>
  <si>
    <t>Турсын Астана 1</t>
  </si>
  <si>
    <t>Турсын Астана 2</t>
  </si>
  <si>
    <t>Проспект Ракымжан Кошкарбаев, 46, 46/1, 46/2</t>
  </si>
  <si>
    <t>Улица Айнакол, 60</t>
  </si>
  <si>
    <t>Сәтті-7</t>
  </si>
  <si>
    <t>Проспект Ракымжан Кошкарбаев, 25</t>
  </si>
  <si>
    <t>Проспект Ракымжан Кошкарбаев, 23</t>
  </si>
  <si>
    <t>Айдидар</t>
  </si>
  <si>
    <t>Сказочный мир пятно 8</t>
  </si>
  <si>
    <t>Улица Касым Аманжолов, 32</t>
  </si>
  <si>
    <t>Сказочный мир пятно 9</t>
  </si>
  <si>
    <t>Улица Касым Аманжолов, 32/1</t>
  </si>
  <si>
    <t xml:space="preserve">Сказочный мир </t>
  </si>
  <si>
    <t xml:space="preserve">Улица Ахмет Байтурсынулы, 17 </t>
  </si>
  <si>
    <t>Улица Ахмет Байтурсынулы, 19</t>
  </si>
  <si>
    <t>Наурыз 2</t>
  </si>
  <si>
    <t>Улица Ахмет Байтурсынулы, 27</t>
  </si>
  <si>
    <t>Millenium Park</t>
  </si>
  <si>
    <t>Улица Калибек Куанышбаев, 9/1, 9/2, 9/3, 15/1, 15/2, 11/3</t>
  </si>
  <si>
    <t>Улица Касым Аманжолов, 26/1, 26/2, 28/1, 28/2</t>
  </si>
  <si>
    <t>Улица Жумекен Нажимеденов, 16А, 16Б</t>
  </si>
  <si>
    <t>Проспект Бауыржан Момышулы, 14</t>
  </si>
  <si>
    <t>Проспект Тауелсиздик, 34/1</t>
  </si>
  <si>
    <t>Улица Беимбет Майлин, 23</t>
  </si>
  <si>
    <t>Проспект Бауыржан Момышулы, 12</t>
  </si>
  <si>
    <t>Ак Шанырак</t>
  </si>
  <si>
    <t>Проспект Бауыржан Момышулы, 2в</t>
  </si>
  <si>
    <t>Самал 8</t>
  </si>
  <si>
    <t xml:space="preserve">Микрорайон Самал, 8 </t>
  </si>
  <si>
    <t>Самал 9</t>
  </si>
  <si>
    <t>Микрорайон Самал, 9</t>
  </si>
  <si>
    <t>Самал 10</t>
  </si>
  <si>
    <t>Микрорайон Самал, 10</t>
  </si>
  <si>
    <t>Проспект Бауыржан Момышулы, 25</t>
  </si>
  <si>
    <t>Эдем Палас</t>
  </si>
  <si>
    <t>Улица Кенесары, 65</t>
  </si>
  <si>
    <t>Ұлы Дала</t>
  </si>
  <si>
    <t>Проспект Улы Дала, 55</t>
  </si>
  <si>
    <t>6--8</t>
  </si>
  <si>
    <t>EXPO Plaza B</t>
  </si>
  <si>
    <t>Проспект Улы Дала, 56</t>
  </si>
  <si>
    <t>EXPO Plaza С</t>
  </si>
  <si>
    <t>Проспект Улы Дала, 58</t>
  </si>
  <si>
    <t>Улица Туркестан, 10</t>
  </si>
  <si>
    <t>Улица Бухар жырау, 34</t>
  </si>
  <si>
    <t>Проспект Мангилик Ел, 33/2</t>
  </si>
  <si>
    <t>Arnau Premium блок B</t>
  </si>
  <si>
    <t>Улица Керей-Жанибек хандар, 14/2 блок B</t>
  </si>
  <si>
    <t>Arnau Premium блок D</t>
  </si>
  <si>
    <t>Улица Керей-Жанибек хандар, 14/2 блок D</t>
  </si>
  <si>
    <t>Arnau Premium блок F</t>
  </si>
  <si>
    <t>Улица Керей-Жанибек хандар, 14/2 блок F</t>
  </si>
  <si>
    <t>Caspian Palace</t>
  </si>
  <si>
    <t>Улица Алихан Бокейхан, 6</t>
  </si>
  <si>
    <t>Улица Шамши Калдаяков, 4, 4/1, 4/2</t>
  </si>
  <si>
    <t>Улица Достык, 13, 13/1, 13/2,</t>
  </si>
  <si>
    <t>Улица Динмухамед Конаев, 12, 12/2</t>
  </si>
  <si>
    <t>12--26</t>
  </si>
  <si>
    <t>Улица Сарайшык, 34</t>
  </si>
  <si>
    <t>Улица Сарайшык, 36</t>
  </si>
  <si>
    <t>Улица Сарайшык, 38</t>
  </si>
  <si>
    <t>Улица Сарайшык, 40</t>
  </si>
  <si>
    <t>Улица Сыганак, 33</t>
  </si>
  <si>
    <t>Улица Достык, 12, 12/1</t>
  </si>
  <si>
    <t>Улица Достык, 1</t>
  </si>
  <si>
    <t>Проспект Кабанбай батыр, 11</t>
  </si>
  <si>
    <t>Проспект Мангилик Ел, 23, 23/1</t>
  </si>
  <si>
    <t>Улица Керей-Жанибек хандар, 6</t>
  </si>
  <si>
    <t>Кайым Мухамедханов улица, 9</t>
  </si>
  <si>
    <t>Кайым Мухамедханов улица, 7/1</t>
  </si>
  <si>
    <t>Nur Aspan 2</t>
  </si>
  <si>
    <t>Проспект Ракымжан Кошкарбаев, 31</t>
  </si>
  <si>
    <t>Улица Касым Аманжолов, 24</t>
  </si>
  <si>
    <t>Улица Каныш Сатпаев, 16/3</t>
  </si>
  <si>
    <t>Акмарал</t>
  </si>
  <si>
    <t>Улица Нурмакова, 79</t>
  </si>
  <si>
    <t>ЖК Премиум 1</t>
  </si>
  <si>
    <t>Nexpo Union</t>
  </si>
  <si>
    <t>Асем Тас 2</t>
  </si>
  <si>
    <t>Асем тас 1</t>
  </si>
  <si>
    <t>Улица Керей-Жанибек хандар, 2</t>
  </si>
  <si>
    <t>2--23</t>
  </si>
  <si>
    <t>Проспект Мангилик Ел, 59</t>
  </si>
  <si>
    <t>Falcon Сity</t>
  </si>
  <si>
    <t>Проспект Аль-Фараби 1А1, 1А2, 1Б1, 1Б2</t>
  </si>
  <si>
    <t>Rams Luxury</t>
  </si>
  <si>
    <t xml:space="preserve">Бизнес-3 </t>
  </si>
  <si>
    <t xml:space="preserve">Комфорт-3 </t>
  </si>
  <si>
    <t>Комфорт-4</t>
  </si>
  <si>
    <t>Комфорт-6</t>
  </si>
  <si>
    <t>ЖК Бизнес 3</t>
  </si>
  <si>
    <t>Проспект Туран 43/3</t>
  </si>
  <si>
    <t>Taugul</t>
  </si>
  <si>
    <t>Taugul 1</t>
  </si>
  <si>
    <t>Улица Сулейменова, 15</t>
  </si>
  <si>
    <t>Улица Сулейменова, 18</t>
  </si>
  <si>
    <t>Central Avenue</t>
  </si>
  <si>
    <t>Самал Де Люкс 2</t>
  </si>
  <si>
    <t>Микрорайон Самал-2, 16, 16Б, 16В</t>
  </si>
  <si>
    <t xml:space="preserve">Baykonyr </t>
  </si>
  <si>
    <t>​Проспект Абая, 42</t>
  </si>
  <si>
    <t>Palladium</t>
  </si>
  <si>
    <t>Улица Жамбыла, 116, 118, 118/2, 120, Улица Ади Шарипова, 100</t>
  </si>
  <si>
    <t xml:space="preserve">Нурсая </t>
  </si>
  <si>
    <t>​Улица Динмухамед Конаев, 14/3</t>
  </si>
  <si>
    <t>9-17</t>
  </si>
  <si>
    <t>Turan Life</t>
  </si>
  <si>
    <t>Улица Бектурова 11/1</t>
  </si>
  <si>
    <t>Улица Мухамедханова 4/1</t>
  </si>
  <si>
    <t>3--24</t>
  </si>
  <si>
    <t>БЦ Нурсая</t>
  </si>
  <si>
    <t>Улица Толе би 63</t>
  </si>
  <si>
    <t xml:space="preserve">БЦ Baykonyr </t>
  </si>
  <si>
    <t>Tokio 4</t>
  </si>
  <si>
    <t>AMIR</t>
  </si>
  <si>
    <t>Улица Торекулова, 91 блок 1-10</t>
  </si>
  <si>
    <t>Солнечная долина</t>
  </si>
  <si>
    <t>микрорайон Мирас, 157 к1, к2, к3, к5, к8, к9, к10, к11</t>
  </si>
  <si>
    <t>4--8</t>
  </si>
  <si>
    <t>Столичный Центр</t>
  </si>
  <si>
    <t>Улица Кабанбай батыра, 87</t>
  </si>
  <si>
    <t>ЖК Элит 1</t>
  </si>
  <si>
    <t>ЖК Элит 2</t>
  </si>
  <si>
    <t>БЦ Innova Tower</t>
  </si>
  <si>
    <t>Innova Tower</t>
  </si>
  <si>
    <t>​Улица Абикен Бектуров, 11</t>
  </si>
  <si>
    <t>Новый мир</t>
  </si>
  <si>
    <t>Улица Динмухамед Конаев, 35/1</t>
  </si>
  <si>
    <t>20</t>
  </si>
  <si>
    <t>БЦ Capital Tower</t>
  </si>
  <si>
    <t xml:space="preserve">Capital Tower </t>
  </si>
  <si>
    <t>​Улица Абиша Кекилбайулы, 34</t>
  </si>
  <si>
    <t>6--14</t>
  </si>
  <si>
    <t>Koktobe city</t>
  </si>
  <si>
    <t>улица Сагадат Нурмагамбетов, 138/4 блок 10, блок 11, блок 12</t>
  </si>
  <si>
    <t>Общая Адресная программа ЖК по г. Астана</t>
  </si>
  <si>
    <t>Общая Адресная программа БЦ по г. Астана</t>
  </si>
  <si>
    <t>Общая Адресная программа ЖК по г. Алматы</t>
  </si>
  <si>
    <t>Общая Адресная программа БЦ по г. Алматы</t>
  </si>
  <si>
    <t>Элит 2</t>
  </si>
  <si>
    <t>Астана Жулдыз</t>
  </si>
  <si>
    <t>Проспект Мангилик Ел, 22</t>
  </si>
  <si>
    <t>Onai 1</t>
  </si>
  <si>
    <t>Onai 2</t>
  </si>
  <si>
    <t>Улица Абикен Бектуров, 11/1стр</t>
  </si>
  <si>
    <t>Улица Турар Рыскулов, 1</t>
  </si>
  <si>
    <t>Garden View</t>
  </si>
  <si>
    <t>​Проспект Кабанбай батыр, 56</t>
  </si>
  <si>
    <t>Проспект Туран, 43/5</t>
  </si>
  <si>
    <t>9-12</t>
  </si>
  <si>
    <t>9-14</t>
  </si>
  <si>
    <t>Tokyo E,F</t>
  </si>
  <si>
    <t>Улица Мухамедханова 4б блок E,F</t>
  </si>
  <si>
    <t>Lifetown 1</t>
  </si>
  <si>
    <t>Lifetown 2</t>
  </si>
  <si>
    <t>ALA-Park очередь 3</t>
  </si>
  <si>
    <t>ALA-Park очередь 4</t>
  </si>
  <si>
    <t>AFD Plaza</t>
  </si>
  <si>
    <t>проспект Аль-Фараби, 21 блок 1-10</t>
  </si>
  <si>
    <t>​Улица Кайым Мухамедханов, 6Б</t>
  </si>
  <si>
    <t>Улица Е 900, 4</t>
  </si>
  <si>
    <t xml:space="preserve"> Arena Park comfort 1</t>
  </si>
  <si>
    <t xml:space="preserve"> Arena Park comfort 2</t>
  </si>
  <si>
    <t>​Улица Бауыржана Момышулы, 10/1, 10/1а, 11, 12, 13</t>
  </si>
  <si>
    <t>Проспект Туран, 43 А/Б</t>
  </si>
  <si>
    <t>Nexpo Classic 4/5/6</t>
  </si>
  <si>
    <t xml:space="preserve">Поколение бизнес-1 </t>
  </si>
  <si>
    <t>Улица Сыганак, 52</t>
  </si>
  <si>
    <t xml:space="preserve">Capital Park Flowers 5C-2 </t>
  </si>
  <si>
    <t>​Аль-Фараби проспект, 11/3 стр</t>
  </si>
  <si>
    <t>Greenline Atmosfera</t>
  </si>
  <si>
    <t>Greenline Asyl Mura Jubanov</t>
  </si>
  <si>
    <t>Greenline Flora</t>
  </si>
  <si>
    <t>Atlant 6</t>
  </si>
  <si>
    <t>Улица Кунаева 5</t>
  </si>
  <si>
    <t>9-21</t>
  </si>
  <si>
    <t>Garden View 2</t>
  </si>
  <si>
    <t>Улица Бухар Жырау 26</t>
  </si>
  <si>
    <t>9-20</t>
  </si>
  <si>
    <t>ЖК Комфорт 7</t>
  </si>
  <si>
    <t>Комфорт 7</t>
  </si>
  <si>
    <t>Улица Варламова, 33</t>
  </si>
  <si>
    <t>Науаи 2</t>
  </si>
  <si>
    <t>Науаи 1</t>
  </si>
  <si>
    <t>Улица Навои, 37</t>
  </si>
  <si>
    <t>Премиум 1</t>
  </si>
  <si>
    <t xml:space="preserve">Комфорт 1          </t>
  </si>
  <si>
    <t>Комфорт 2</t>
  </si>
  <si>
    <t>AFD Plaza коммерция</t>
  </si>
  <si>
    <t>4</t>
  </si>
  <si>
    <t>6--30</t>
  </si>
  <si>
    <t>Наурыз</t>
  </si>
  <si>
    <t>проспект Аль-Фараби, 21 блок 6-10</t>
  </si>
  <si>
    <t>Проспект Туран, 43В</t>
  </si>
  <si>
    <t>Greenline Viva</t>
  </si>
  <si>
    <t>Анет баба 8</t>
  </si>
  <si>
    <t>Capita Park Light 3B-2</t>
  </si>
  <si>
    <t>Аль-Фараби проспект 1</t>
  </si>
  <si>
    <t>Aru park - 1</t>
  </si>
  <si>
    <t>Улица Е652, 18</t>
  </si>
  <si>
    <t>улица Толе Би 28/1</t>
  </si>
  <si>
    <t>Проспект Туран 43/6</t>
  </si>
  <si>
    <t>Гранд Алатау</t>
  </si>
  <si>
    <t>Желтоксан 2/2</t>
  </si>
  <si>
    <t>28</t>
  </si>
  <si>
    <t>пр. Туран 57/4</t>
  </si>
  <si>
    <t>Nexpo Trend</t>
  </si>
  <si>
    <t>Улица Турар Рыскулов, 9</t>
  </si>
  <si>
    <t>GreenLine.Flora 2</t>
  </si>
  <si>
    <t>Arena Garden 1-1</t>
  </si>
  <si>
    <t>Arena city 2</t>
  </si>
  <si>
    <t xml:space="preserve">Capital Park Flowers 5C-1 </t>
  </si>
  <si>
    <t>Аль-Фараби проспект, 9/2</t>
  </si>
  <si>
    <t xml:space="preserve">Проспект Ракымжан Кошкарбаев,  40/1 </t>
  </si>
  <si>
    <t>Arnau Premium блок E</t>
  </si>
  <si>
    <t>Улица Керей-Жанибек хандар, 14/2 блок E</t>
  </si>
  <si>
    <t>Aru park - 2</t>
  </si>
  <si>
    <t>Проспект Туран, 14/1, 14/3, 14/4</t>
  </si>
  <si>
    <t>Улица Е652, 20</t>
  </si>
  <si>
    <t>Самал 1</t>
  </si>
  <si>
    <t>Микрорайон Самал, 1</t>
  </si>
  <si>
    <t>Жайлы 1</t>
  </si>
  <si>
    <t>Жайлы 2</t>
  </si>
  <si>
    <t>улица Толе би, 273а блок 1-5</t>
  </si>
  <si>
    <t>13--15</t>
  </si>
  <si>
    <t>​улица Толе би, 273/4</t>
  </si>
  <si>
    <t>Розыбакиева, 336/5 блок 11-13</t>
  </si>
  <si>
    <t xml:space="preserve">Проспект Сейфуллина, 574/6 </t>
  </si>
  <si>
    <t xml:space="preserve">Улица Каныша Сатпаева, 82 </t>
  </si>
  <si>
    <t>Улица Каныша Сатпаева, 82/2</t>
  </si>
  <si>
    <t>Улица Торекулова, 93 блок 11-16</t>
  </si>
  <si>
    <t>Гажайып микрорайон, 5/3 блок 1-8</t>
  </si>
  <si>
    <t>​Микрорайон Керемет, 1, 5, 6</t>
  </si>
  <si>
    <t>Улица Масанчи,23/1-11</t>
  </si>
  <si>
    <t xml:space="preserve">Улица Ергожина, 8, К1, К2, </t>
  </si>
  <si>
    <t>улица Рахмадиева, 2/1-12</t>
  </si>
  <si>
    <t>Улица Отырар, 2/1</t>
  </si>
  <si>
    <t>Реал Алматы</t>
  </si>
  <si>
    <t>Проспект Серкебаева, 111</t>
  </si>
  <si>
    <t>Grand Turan 4-1</t>
  </si>
  <si>
    <t>Grand Turan Comfort 3-2</t>
  </si>
  <si>
    <t>Grand Turan Comfort 4-2</t>
  </si>
  <si>
    <t>Grand Turan Avenue</t>
  </si>
  <si>
    <t>Grand Turan Avenue 2</t>
  </si>
  <si>
    <t>Greenline Aqua2 Business</t>
  </si>
  <si>
    <t>Greenline Astra</t>
  </si>
  <si>
    <t xml:space="preserve"> Ул. Е 796,1</t>
  </si>
  <si>
    <t>БЦ Expo</t>
  </si>
  <si>
    <t>Expo</t>
  </si>
  <si>
    <t xml:space="preserve">Verdi </t>
  </si>
  <si>
    <t>​Улица Егизбаева, 9/5</t>
  </si>
  <si>
    <t>Бизнес 1</t>
  </si>
  <si>
    <t>7--21</t>
  </si>
  <si>
    <t>Бизнес 2</t>
  </si>
  <si>
    <t>6--20</t>
  </si>
  <si>
    <t>Бизнес 3</t>
  </si>
  <si>
    <t>6--17</t>
  </si>
  <si>
    <t>Элит 1</t>
  </si>
  <si>
    <t>7--22</t>
  </si>
  <si>
    <t>Nexpo Classic Style</t>
  </si>
  <si>
    <t>​Улица Турар Рыскулов, 1/1</t>
  </si>
  <si>
    <t>Улица Е-899, 1</t>
  </si>
  <si>
    <t>​Улица Е 900, 6</t>
  </si>
  <si>
    <t>Проспект Мангилик Ел, 55/22</t>
  </si>
  <si>
    <t>Бизнес 4</t>
  </si>
  <si>
    <t>ЖК Бизнес 4</t>
  </si>
  <si>
    <t>Бизнес 5</t>
  </si>
  <si>
    <t>ЖК Бизнес 5</t>
  </si>
  <si>
    <t>Capital Park Emotions - 1</t>
  </si>
  <si>
    <t>Бухар Жырау 33/1</t>
  </si>
  <si>
    <t>Nexpo Trend 2</t>
  </si>
  <si>
    <t>Улица Турар Рыскулов 9А,</t>
  </si>
  <si>
    <t>14-20</t>
  </si>
  <si>
    <t>Итого KZT           тг, с НДС</t>
  </si>
  <si>
    <t>Цена за 1 день после скидки          тг, с НДС</t>
  </si>
  <si>
    <t>Цена за 1 день (за сектор)          тг, с НДС</t>
  </si>
  <si>
    <t xml:space="preserve"> Arena city sport A</t>
  </si>
  <si>
    <t>Гажайып микрорайон, 33, 33 К1-4</t>
  </si>
  <si>
    <t xml:space="preserve"> Arena city sport B</t>
  </si>
  <si>
    <t>Гажайып микрорайон, 31 блок 1 - 12</t>
  </si>
  <si>
    <t>Комфорт 3</t>
  </si>
  <si>
    <t>Отау</t>
  </si>
  <si>
    <t>Улица Жамбыла, 155</t>
  </si>
  <si>
    <t>в работе</t>
  </si>
  <si>
    <t>Бастау</t>
  </si>
  <si>
    <t>Улица Казыбек би, 139, 139 к1, 139 к2</t>
  </si>
  <si>
    <t>Алматы:</t>
  </si>
  <si>
    <t>Астана 1 часть:</t>
  </si>
  <si>
    <t>Астана 2 часть:</t>
  </si>
  <si>
    <t>Карта с ЖК и БЦ, где установлены мониторы:</t>
  </si>
  <si>
    <t>https://goo.gl/maps/oBpqdHWYyTajPoNZ9?g_st=aw</t>
  </si>
  <si>
    <t>https://goo.gl/maps/V6hN6qwH9efVEck26?g_st=aw</t>
  </si>
  <si>
    <t>https://goo.gl/maps/axHPFgQUBZ4d4L5Y7?g_st=aw</t>
  </si>
  <si>
    <t>Qasteev</t>
  </si>
  <si>
    <t>Бухар Жырау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</si>
</sst>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sz val="9"/>
      <color theme="1"/>
      <name val="Calibri"/>
      <family val="2"/>
      <scheme val="minor"/>
    </font>
    <font>
      <sz val="9"/>
      <name val="Arial"/>
      <family val="2"/>
      <charset val="204"/>
    </font>
    <font>
      <sz val="9"/>
      <color theme="0"/>
      <name val="Arial"/>
      <family val="2"/>
      <charset val="204"/>
    </font>
    <font>
      <b/>
      <sz val="9"/>
      <color theme="0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10"/>
      <color theme="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C545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5C896"/>
        <bgColor indexed="64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43">
    <xf numFmtId="0" fontId="0" fillId="0" borderId="0" xfId="0"/>
    <xf numFmtId="0" fontId="2" fillId="0" borderId="0" xfId="0" applyFont="1"/>
    <xf numFmtId="0" fontId="5" fillId="0" borderId="0" xfId="0" applyFont="1"/>
    <xf numFmtId="0" fontId="6" fillId="0" borderId="0" xfId="0" applyFont="1" applyAlignment="1">
      <alignment horizontal="right"/>
    </xf>
    <xf numFmtId="0" fontId="7" fillId="0" borderId="0" xfId="0" applyFont="1"/>
    <xf numFmtId="0" fontId="5" fillId="2" borderId="2" xfId="0" applyFont="1" applyFill="1" applyBorder="1" applyAlignment="1">
      <alignment horizontal="center" vertical="center"/>
    </xf>
    <xf numFmtId="0" fontId="8" fillId="0" borderId="0" xfId="2" applyFont="1" applyAlignment="1">
      <alignment horizontal="center"/>
    </xf>
    <xf numFmtId="9" fontId="8" fillId="0" borderId="1" xfId="1" applyFont="1" applyFill="1" applyBorder="1" applyAlignment="1">
      <alignment horizontal="center" vertical="center"/>
    </xf>
    <xf numFmtId="0" fontId="7" fillId="2" borderId="0" xfId="0" applyFont="1" applyFill="1"/>
    <xf numFmtId="0" fontId="8" fillId="2" borderId="2" xfId="2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0" fontId="8" fillId="0" borderId="1" xfId="2" applyFont="1" applyBorder="1" applyAlignment="1">
      <alignment horizontal="center"/>
    </xf>
    <xf numFmtId="0" fontId="11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3" fontId="10" fillId="3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10" fillId="3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3" fontId="10" fillId="5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vertical="center"/>
    </xf>
    <xf numFmtId="164" fontId="5" fillId="0" borderId="1" xfId="3" applyNumberFormat="1" applyFont="1" applyFill="1" applyBorder="1" applyAlignment="1">
      <alignment horizontal="center" vertical="center"/>
    </xf>
    <xf numFmtId="164" fontId="5" fillId="0" borderId="3" xfId="3" applyNumberFormat="1" applyFont="1" applyFill="1" applyBorder="1" applyAlignment="1">
      <alignment horizontal="center" vertical="center"/>
    </xf>
    <xf numFmtId="164" fontId="5" fillId="2" borderId="2" xfId="3" applyNumberFormat="1" applyFont="1" applyFill="1" applyBorder="1" applyAlignment="1">
      <alignment horizontal="center" vertical="center"/>
    </xf>
    <xf numFmtId="164" fontId="5" fillId="2" borderId="1" xfId="3" applyNumberFormat="1" applyFont="1" applyFill="1" applyBorder="1" applyAlignment="1">
      <alignment horizontal="center" vertical="center"/>
    </xf>
    <xf numFmtId="164" fontId="10" fillId="5" borderId="1" xfId="3" applyNumberFormat="1" applyFont="1" applyFill="1" applyBorder="1" applyAlignment="1">
      <alignment horizontal="center" vertical="center"/>
    </xf>
    <xf numFmtId="164" fontId="9" fillId="5" borderId="1" xfId="3" applyNumberFormat="1" applyFont="1" applyFill="1" applyBorder="1" applyAlignment="1">
      <alignment vertical="center"/>
    </xf>
    <xf numFmtId="164" fontId="10" fillId="3" borderId="1" xfId="3" applyNumberFormat="1" applyFont="1" applyFill="1" applyBorder="1" applyAlignment="1">
      <alignment vertical="center"/>
    </xf>
    <xf numFmtId="164" fontId="10" fillId="3" borderId="1" xfId="3" applyNumberFormat="1" applyFont="1" applyFill="1" applyBorder="1" applyAlignment="1">
      <alignment horizontal="center" vertical="center"/>
    </xf>
    <xf numFmtId="9" fontId="10" fillId="5" borderId="1" xfId="1" applyFont="1" applyFill="1" applyBorder="1" applyAlignment="1">
      <alignment horizontal="center" vertical="center"/>
    </xf>
    <xf numFmtId="9" fontId="10" fillId="3" borderId="1" xfId="1" applyFont="1" applyFill="1" applyBorder="1" applyAlignment="1">
      <alignment horizontal="center" vertical="center"/>
    </xf>
    <xf numFmtId="3" fontId="10" fillId="3" borderId="2" xfId="0" applyNumberFormat="1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3" fontId="10" fillId="3" borderId="4" xfId="0" applyNumberFormat="1" applyFont="1" applyFill="1" applyBorder="1" applyAlignment="1">
      <alignment horizontal="center" vertical="center" wrapText="1"/>
    </xf>
    <xf numFmtId="49" fontId="10" fillId="3" borderId="4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7" fontId="10" fillId="3" borderId="1" xfId="0" applyNumberFormat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5" fillId="0" borderId="0" xfId="0" applyFont="1" applyFill="1"/>
    <xf numFmtId="0" fontId="12" fillId="5" borderId="1" xfId="2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0" borderId="0" xfId="2" applyAlignment="1">
      <alignment horizontal="left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164" fontId="6" fillId="2" borderId="1" xfId="3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right" vertical="center" wrapText="1"/>
    </xf>
    <xf numFmtId="0" fontId="8" fillId="0" borderId="2" xfId="2" applyFont="1" applyFill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0" fillId="5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17" fontId="5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3" fillId="0" borderId="0" xfId="2"/>
    <xf numFmtId="0" fontId="13" fillId="0" borderId="0" xfId="0" applyFont="1"/>
    <xf numFmtId="164" fontId="12" fillId="5" borderId="3" xfId="3" applyNumberFormat="1" applyFont="1" applyFill="1" applyBorder="1" applyAlignment="1">
      <alignment horizontal="center" vertical="center"/>
    </xf>
    <xf numFmtId="164" fontId="12" fillId="5" borderId="7" xfId="3" applyNumberFormat="1" applyFont="1" applyFill="1" applyBorder="1" applyAlignment="1">
      <alignment horizontal="center" vertical="center"/>
    </xf>
    <xf numFmtId="164" fontId="12" fillId="3" borderId="3" xfId="3" applyNumberFormat="1" applyFont="1" applyFill="1" applyBorder="1" applyAlignment="1">
      <alignment horizontal="center" vertical="center"/>
    </xf>
    <xf numFmtId="164" fontId="12" fillId="3" borderId="7" xfId="3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right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horizontal="center"/>
    </xf>
    <xf numFmtId="0" fontId="10" fillId="5" borderId="0" xfId="0" applyFont="1" applyFill="1" applyBorder="1" applyAlignment="1">
      <alignment horizontal="center"/>
    </xf>
    <xf numFmtId="0" fontId="9" fillId="5" borderId="13" xfId="0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right" vertical="center" wrapText="1"/>
    </xf>
    <xf numFmtId="0" fontId="10" fillId="3" borderId="6" xfId="0" applyFont="1" applyFill="1" applyBorder="1" applyAlignment="1">
      <alignment horizontal="right" vertical="center" wrapText="1"/>
    </xf>
    <xf numFmtId="0" fontId="10" fillId="3" borderId="7" xfId="0" applyFont="1" applyFill="1" applyBorder="1" applyAlignment="1">
      <alignment horizontal="right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0" fillId="5" borderId="12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right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right" vertical="center" wrapText="1"/>
    </xf>
    <xf numFmtId="0" fontId="10" fillId="5" borderId="7" xfId="0" applyFont="1" applyFill="1" applyBorder="1" applyAlignment="1">
      <alignment horizontal="right" vertical="center" wrapText="1"/>
    </xf>
  </cellXfs>
  <cellStyles count="4">
    <cellStyle name="Гиперссылка" xfId="2" builtinId="8"/>
    <cellStyle name="Обычный" xfId="0" builtinId="0"/>
    <cellStyle name="Процентный" xfId="1" builtinId="5"/>
    <cellStyle name="Финансовый" xfId="3" builtinId="3"/>
  </cellStyles>
  <dxfs count="1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5C896"/>
      <color rgb="FF4C54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2396278</xdr:colOff>
      <xdr:row>62</xdr:row>
      <xdr:rowOff>99786</xdr:rowOff>
    </xdr:from>
    <xdr:to>
      <xdr:col>4</xdr:col>
      <xdr:colOff>192807</xdr:colOff>
      <xdr:row>70</xdr:row>
      <xdr:rowOff>34769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AA5C5E0-9CD7-4DF1-98B8-819696D164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55" r="47926" b="11469"/>
        <a:stretch/>
      </xdr:blipFill>
      <xdr:spPr>
        <a:xfrm>
          <a:off x="3001396" y="11417727"/>
          <a:ext cx="1079852" cy="1190041"/>
        </a:xfrm>
        <a:prstGeom prst="rect">
          <a:avLst/>
        </a:prstGeom>
      </xdr:spPr>
    </xdr:pic>
    <xdr:clientData/>
  </xdr:twoCellAnchor>
  <xdr:twoCellAnchor editAs="oneCell">
    <xdr:from>
      <xdr:col>6</xdr:col>
      <xdr:colOff>57605</xdr:colOff>
      <xdr:row>63</xdr:row>
      <xdr:rowOff>42184</xdr:rowOff>
    </xdr:from>
    <xdr:to>
      <xdr:col>7</xdr:col>
      <xdr:colOff>325254</xdr:colOff>
      <xdr:row>69</xdr:row>
      <xdr:rowOff>115049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AB8E952A-C342-4FEA-99FA-5830E466FA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25" t="3470" r="31979" b="5997"/>
        <a:stretch/>
      </xdr:blipFill>
      <xdr:spPr>
        <a:xfrm>
          <a:off x="5279546" y="11517008"/>
          <a:ext cx="1175326" cy="1014160"/>
        </a:xfrm>
        <a:prstGeom prst="rect">
          <a:avLst/>
        </a:prstGeom>
      </xdr:spPr>
    </xdr:pic>
    <xdr:clientData/>
  </xdr:twoCellAnchor>
  <xdr:twoCellAnchor editAs="oneCell">
    <xdr:from>
      <xdr:col>1</xdr:col>
      <xdr:colOff>38314</xdr:colOff>
      <xdr:row>63</xdr:row>
      <xdr:rowOff>90368</xdr:rowOff>
    </xdr:from>
    <xdr:to>
      <xdr:col>2</xdr:col>
      <xdr:colOff>692392</xdr:colOff>
      <xdr:row>80</xdr:row>
      <xdr:rowOff>50053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E7C5E2FA-E18C-4625-B5C9-8CA52AC420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510" t="16038" r="35892" b="8476"/>
        <a:stretch/>
      </xdr:blipFill>
      <xdr:spPr>
        <a:xfrm>
          <a:off x="161579" y="11565192"/>
          <a:ext cx="1135931" cy="2626685"/>
        </a:xfrm>
        <a:prstGeom prst="rect">
          <a:avLst/>
        </a:prstGeom>
      </xdr:spPr>
    </xdr:pic>
    <xdr:clientData/>
  </xdr:twoCellAnchor>
  <xdr:twoCellAnchor editAs="oneCell">
    <xdr:from>
      <xdr:col>1</xdr:col>
      <xdr:colOff>10646</xdr:colOff>
      <xdr:row>0</xdr:row>
      <xdr:rowOff>0</xdr:rowOff>
    </xdr:from>
    <xdr:to>
      <xdr:col>2</xdr:col>
      <xdr:colOff>1042146</xdr:colOff>
      <xdr:row>9</xdr:row>
      <xdr:rowOff>148112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E8671E22-A45F-4920-9196-6B879B0FB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911" y="0"/>
          <a:ext cx="1513353" cy="15600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5C896"/>
  </sheetPr>
  <dimension ref="B3:N62"/>
  <sheetViews>
    <sheetView showGridLines="0" topLeftCell="A10" zoomScale="85" zoomScaleNormal="85" workbookViewId="0">
      <selection activeCell="L25" sqref="L25"/>
    </sheetView>
  </sheetViews>
  <sheetFormatPr defaultColWidth="8.85546875" defaultRowHeight="12" x14ac:dyDescent="0.2"/>
  <cols>
    <col min="1" max="1" width="1.85546875" style="2" customWidth="1"/>
    <col min="2" max="2" width="7.28515625" style="2" bestFit="1" customWidth="1"/>
    <col min="3" max="3" width="37" style="2" bestFit="1" customWidth="1"/>
    <col min="4" max="4" width="12.28515625" style="2" customWidth="1"/>
    <col min="5" max="5" width="6.85546875" style="2" customWidth="1"/>
    <col min="6" max="6" width="13.140625" style="2" customWidth="1"/>
    <col min="7" max="7" width="13.5703125" style="2" customWidth="1"/>
    <col min="8" max="8" width="7" style="2" bestFit="1" customWidth="1"/>
    <col min="9" max="9" width="11.140625" style="2" bestFit="1" customWidth="1"/>
    <col min="10" max="10" width="7.140625" style="2" bestFit="1" customWidth="1"/>
    <col min="11" max="11" width="11" style="2" bestFit="1" customWidth="1"/>
    <col min="12" max="13" width="11.28515625" style="2" bestFit="1" customWidth="1"/>
    <col min="14" max="16384" width="8.85546875" style="2"/>
  </cols>
  <sheetData>
    <row r="3" spans="2:14" x14ac:dyDescent="0.2">
      <c r="D3" s="3" t="s">
        <v>90</v>
      </c>
      <c r="E3" s="2" t="s">
        <v>137</v>
      </c>
    </row>
    <row r="4" spans="2:14" x14ac:dyDescent="0.2">
      <c r="D4" s="3" t="s">
        <v>92</v>
      </c>
    </row>
    <row r="5" spans="2:14" x14ac:dyDescent="0.2">
      <c r="D5" s="3" t="s">
        <v>89</v>
      </c>
    </row>
    <row r="6" spans="2:14" x14ac:dyDescent="0.2">
      <c r="D6" s="3" t="s">
        <v>91</v>
      </c>
      <c r="E6" s="2" t="s">
        <v>145</v>
      </c>
    </row>
    <row r="10" spans="2:14" s="4" customFormat="1" ht="60" customHeight="1" x14ac:dyDescent="0.2">
      <c r="B10" s="51" t="s">
        <v>0</v>
      </c>
      <c r="C10" s="48" t="s">
        <v>2</v>
      </c>
      <c r="D10" s="51" t="s">
        <v>3</v>
      </c>
      <c r="E10" s="51" t="s">
        <v>94</v>
      </c>
      <c r="F10" s="51" t="s">
        <v>93</v>
      </c>
      <c r="G10" s="51" t="s">
        <v>560</v>
      </c>
      <c r="H10" s="51" t="s">
        <v>1</v>
      </c>
      <c r="I10" s="51" t="s">
        <v>559</v>
      </c>
      <c r="J10" s="51" t="s">
        <v>140</v>
      </c>
      <c r="K10" s="51" t="s">
        <v>141</v>
      </c>
      <c r="L10" s="62" t="s">
        <v>142</v>
      </c>
      <c r="M10" s="62" t="s">
        <v>558</v>
      </c>
    </row>
    <row r="11" spans="2:14" s="8" customFormat="1" ht="15" customHeight="1" x14ac:dyDescent="0.2">
      <c r="B11" s="5" t="s">
        <v>111</v>
      </c>
      <c r="C11" s="6" t="s">
        <v>162</v>
      </c>
      <c r="D11" s="101" t="s">
        <v>4</v>
      </c>
      <c r="E11" s="32">
        <v>15</v>
      </c>
      <c r="F11" s="32">
        <v>103</v>
      </c>
      <c r="G11" s="33">
        <f t="shared" ref="G11:G17" si="0">1.16*11666.666666</f>
        <v>13533.333332559998</v>
      </c>
      <c r="H11" s="7"/>
      <c r="I11" s="34">
        <f>G11*(1-H11)</f>
        <v>13533.333332559998</v>
      </c>
      <c r="J11" s="35">
        <v>30</v>
      </c>
      <c r="K11" s="35">
        <v>288</v>
      </c>
      <c r="L11" s="35">
        <f t="shared" ref="L11:L23" si="1">K11*F11*J11</f>
        <v>889920</v>
      </c>
      <c r="M11" s="56">
        <f>I11*J11</f>
        <v>405999.99997679994</v>
      </c>
    </row>
    <row r="12" spans="2:14" s="8" customFormat="1" ht="15" customHeight="1" x14ac:dyDescent="0.2">
      <c r="B12" s="5" t="s">
        <v>111</v>
      </c>
      <c r="C12" s="9" t="s">
        <v>163</v>
      </c>
      <c r="D12" s="102"/>
      <c r="E12" s="32">
        <v>15</v>
      </c>
      <c r="F12" s="32">
        <v>98</v>
      </c>
      <c r="G12" s="33">
        <f t="shared" si="0"/>
        <v>13533.333332559998</v>
      </c>
      <c r="H12" s="7"/>
      <c r="I12" s="34">
        <f>G12*(1-H12)</f>
        <v>13533.333332559998</v>
      </c>
      <c r="J12" s="35">
        <v>30</v>
      </c>
      <c r="K12" s="35">
        <v>288</v>
      </c>
      <c r="L12" s="35">
        <f t="shared" si="1"/>
        <v>846720</v>
      </c>
      <c r="M12" s="56">
        <f t="shared" ref="M12:M32" si="2">I12*J12</f>
        <v>405999.99997679994</v>
      </c>
    </row>
    <row r="13" spans="2:14" ht="15" customHeight="1" x14ac:dyDescent="0.2">
      <c r="B13" s="5" t="s">
        <v>111</v>
      </c>
      <c r="C13" s="9" t="s">
        <v>164</v>
      </c>
      <c r="D13" s="102"/>
      <c r="E13" s="32">
        <v>15</v>
      </c>
      <c r="F13" s="32">
        <v>92</v>
      </c>
      <c r="G13" s="33">
        <f t="shared" si="0"/>
        <v>13533.333332559998</v>
      </c>
      <c r="H13" s="7"/>
      <c r="I13" s="34">
        <f t="shared" ref="I13:I23" si="3">G13*(1-H13)</f>
        <v>13533.333332559998</v>
      </c>
      <c r="J13" s="35">
        <v>30</v>
      </c>
      <c r="K13" s="35">
        <v>288</v>
      </c>
      <c r="L13" s="35">
        <f t="shared" si="1"/>
        <v>794880</v>
      </c>
      <c r="M13" s="56">
        <f t="shared" si="2"/>
        <v>405999.99997679994</v>
      </c>
    </row>
    <row r="14" spans="2:14" ht="15" customHeight="1" x14ac:dyDescent="0.2">
      <c r="B14" s="5" t="s">
        <v>111</v>
      </c>
      <c r="C14" s="9" t="s">
        <v>165</v>
      </c>
      <c r="D14" s="102"/>
      <c r="E14" s="32">
        <v>15</v>
      </c>
      <c r="F14" s="32">
        <v>86</v>
      </c>
      <c r="G14" s="33">
        <f t="shared" si="0"/>
        <v>13533.333332559998</v>
      </c>
      <c r="H14" s="7"/>
      <c r="I14" s="34">
        <f t="shared" si="3"/>
        <v>13533.333332559998</v>
      </c>
      <c r="J14" s="35">
        <v>30</v>
      </c>
      <c r="K14" s="35">
        <v>288</v>
      </c>
      <c r="L14" s="35">
        <f t="shared" si="1"/>
        <v>743040</v>
      </c>
      <c r="M14" s="56">
        <f t="shared" si="2"/>
        <v>405999.99997679994</v>
      </c>
      <c r="N14" s="49"/>
    </row>
    <row r="15" spans="2:14" ht="15" customHeight="1" x14ac:dyDescent="0.2">
      <c r="B15" s="5" t="s">
        <v>111</v>
      </c>
      <c r="C15" s="9" t="s">
        <v>166</v>
      </c>
      <c r="D15" s="102"/>
      <c r="E15" s="32">
        <v>15</v>
      </c>
      <c r="F15" s="32">
        <v>69</v>
      </c>
      <c r="G15" s="33">
        <f t="shared" si="0"/>
        <v>13533.333332559998</v>
      </c>
      <c r="H15" s="7"/>
      <c r="I15" s="34">
        <f t="shared" si="3"/>
        <v>13533.333332559998</v>
      </c>
      <c r="J15" s="35">
        <v>30</v>
      </c>
      <c r="K15" s="35">
        <v>288</v>
      </c>
      <c r="L15" s="35">
        <f t="shared" si="1"/>
        <v>596160</v>
      </c>
      <c r="M15" s="56">
        <f t="shared" si="2"/>
        <v>405999.99997679994</v>
      </c>
    </row>
    <row r="16" spans="2:14" ht="15" customHeight="1" x14ac:dyDescent="0.2">
      <c r="B16" s="5" t="s">
        <v>111</v>
      </c>
      <c r="C16" s="9" t="s">
        <v>167</v>
      </c>
      <c r="D16" s="102"/>
      <c r="E16" s="32">
        <v>15</v>
      </c>
      <c r="F16" s="32">
        <v>88</v>
      </c>
      <c r="G16" s="33">
        <f t="shared" si="0"/>
        <v>13533.333332559998</v>
      </c>
      <c r="H16" s="7"/>
      <c r="I16" s="34">
        <f t="shared" si="3"/>
        <v>13533.333332559998</v>
      </c>
      <c r="J16" s="35">
        <v>30</v>
      </c>
      <c r="K16" s="35">
        <v>288</v>
      </c>
      <c r="L16" s="35">
        <f t="shared" si="1"/>
        <v>760320</v>
      </c>
      <c r="M16" s="56">
        <f t="shared" si="2"/>
        <v>405999.99997679994</v>
      </c>
    </row>
    <row r="17" spans="2:13" ht="15" customHeight="1" x14ac:dyDescent="0.2">
      <c r="B17" s="5" t="s">
        <v>111</v>
      </c>
      <c r="C17" s="9" t="s">
        <v>464</v>
      </c>
      <c r="D17" s="102"/>
      <c r="E17" s="32">
        <v>15</v>
      </c>
      <c r="F17" s="32">
        <v>105</v>
      </c>
      <c r="G17" s="33">
        <f t="shared" si="0"/>
        <v>13533.333332559998</v>
      </c>
      <c r="H17" s="7"/>
      <c r="I17" s="34">
        <f t="shared" si="3"/>
        <v>13533.333332559998</v>
      </c>
      <c r="J17" s="35">
        <v>30</v>
      </c>
      <c r="K17" s="35">
        <v>288</v>
      </c>
      <c r="L17" s="35">
        <f t="shared" si="1"/>
        <v>907200</v>
      </c>
      <c r="M17" s="56">
        <f t="shared" si="2"/>
        <v>405999.99997679994</v>
      </c>
    </row>
    <row r="18" spans="2:13" ht="15" customHeight="1" x14ac:dyDescent="0.2">
      <c r="B18" s="5" t="s">
        <v>111</v>
      </c>
      <c r="C18" s="9" t="s">
        <v>170</v>
      </c>
      <c r="D18" s="102"/>
      <c r="E18" s="32">
        <v>15</v>
      </c>
      <c r="F18" s="32">
        <v>110</v>
      </c>
      <c r="G18" s="33">
        <f>1.16*13333.33333</f>
        <v>15466.666662799998</v>
      </c>
      <c r="H18" s="7"/>
      <c r="I18" s="34">
        <f>G18*(1-H18)</f>
        <v>15466.666662799998</v>
      </c>
      <c r="J18" s="35">
        <v>30</v>
      </c>
      <c r="K18" s="35">
        <v>288</v>
      </c>
      <c r="L18" s="35">
        <f t="shared" si="1"/>
        <v>950400</v>
      </c>
      <c r="M18" s="56">
        <f t="shared" si="2"/>
        <v>463999.99988399993</v>
      </c>
    </row>
    <row r="19" spans="2:13" ht="15" customHeight="1" x14ac:dyDescent="0.2">
      <c r="B19" s="5" t="s">
        <v>111</v>
      </c>
      <c r="C19" s="9" t="s">
        <v>168</v>
      </c>
      <c r="D19" s="102"/>
      <c r="E19" s="32">
        <v>15</v>
      </c>
      <c r="F19" s="32">
        <v>99</v>
      </c>
      <c r="G19" s="33">
        <f>1.16*13333.33333</f>
        <v>15466.666662799998</v>
      </c>
      <c r="H19" s="7"/>
      <c r="I19" s="34">
        <f>G19*(1-H19)</f>
        <v>15466.666662799998</v>
      </c>
      <c r="J19" s="35">
        <v>30</v>
      </c>
      <c r="K19" s="35">
        <v>288</v>
      </c>
      <c r="L19" s="35">
        <f t="shared" si="1"/>
        <v>855360</v>
      </c>
      <c r="M19" s="56">
        <f t="shared" si="2"/>
        <v>463999.99988399993</v>
      </c>
    </row>
    <row r="20" spans="2:13" ht="15" customHeight="1" x14ac:dyDescent="0.2">
      <c r="B20" s="5" t="s">
        <v>111</v>
      </c>
      <c r="C20" s="9" t="s">
        <v>375</v>
      </c>
      <c r="D20" s="102"/>
      <c r="E20" s="32">
        <v>15</v>
      </c>
      <c r="F20" s="32">
        <v>74</v>
      </c>
      <c r="G20" s="33">
        <f>1.16*13333.33333</f>
        <v>15466.666662799998</v>
      </c>
      <c r="H20" s="7"/>
      <c r="I20" s="34">
        <f>G20*(1-H20)</f>
        <v>15466.666662799998</v>
      </c>
      <c r="J20" s="35">
        <v>30</v>
      </c>
      <c r="K20" s="35">
        <v>288</v>
      </c>
      <c r="L20" s="35">
        <f t="shared" si="1"/>
        <v>639360</v>
      </c>
      <c r="M20" s="56">
        <f t="shared" si="2"/>
        <v>463999.99988399993</v>
      </c>
    </row>
    <row r="21" spans="2:13" ht="15" customHeight="1" x14ac:dyDescent="0.2">
      <c r="B21" s="5" t="s">
        <v>111</v>
      </c>
      <c r="C21" s="9" t="s">
        <v>550</v>
      </c>
      <c r="D21" s="102"/>
      <c r="E21" s="32">
        <v>15</v>
      </c>
      <c r="F21" s="32">
        <v>52</v>
      </c>
      <c r="G21" s="33">
        <f>1.16*13333.33333</f>
        <v>15466.666662799998</v>
      </c>
      <c r="H21" s="7"/>
      <c r="I21" s="35">
        <f t="shared" ref="I21" si="4">G21*(1-H21)</f>
        <v>15466.666662799998</v>
      </c>
      <c r="J21" s="35">
        <v>30</v>
      </c>
      <c r="K21" s="35">
        <v>288</v>
      </c>
      <c r="L21" s="35">
        <f t="shared" ref="L21" si="5">K21*F21*J21</f>
        <v>449280</v>
      </c>
      <c r="M21" s="56">
        <f t="shared" ref="M21" si="6">I21*J21</f>
        <v>463999.99988399993</v>
      </c>
    </row>
    <row r="22" spans="2:13" ht="15" customHeight="1" x14ac:dyDescent="0.2">
      <c r="B22" s="5" t="s">
        <v>111</v>
      </c>
      <c r="C22" s="9" t="s">
        <v>552</v>
      </c>
      <c r="D22" s="102"/>
      <c r="E22" s="32">
        <v>15</v>
      </c>
      <c r="F22" s="32">
        <v>78</v>
      </c>
      <c r="G22" s="33">
        <f>1.16*13333.33333</f>
        <v>15466.666662799998</v>
      </c>
      <c r="H22" s="7"/>
      <c r="I22" s="35">
        <f t="shared" ref="I22" si="7">G22*(1-H22)</f>
        <v>15466.666662799998</v>
      </c>
      <c r="J22" s="35">
        <v>30</v>
      </c>
      <c r="K22" s="35">
        <v>288</v>
      </c>
      <c r="L22" s="35">
        <f t="shared" ref="L22" si="8">K22*F22*J22</f>
        <v>673920</v>
      </c>
      <c r="M22" s="56">
        <f t="shared" ref="M22" si="9">I22*J22</f>
        <v>463999.99988399993</v>
      </c>
    </row>
    <row r="23" spans="2:13" ht="15" customHeight="1" x14ac:dyDescent="0.2">
      <c r="B23" s="5" t="s">
        <v>111</v>
      </c>
      <c r="C23" s="9" t="s">
        <v>169</v>
      </c>
      <c r="D23" s="102"/>
      <c r="E23" s="32">
        <v>15</v>
      </c>
      <c r="F23" s="32">
        <v>43</v>
      </c>
      <c r="G23" s="32">
        <f>1.16*15000</f>
        <v>17400</v>
      </c>
      <c r="H23" s="7"/>
      <c r="I23" s="35">
        <f t="shared" si="3"/>
        <v>17400</v>
      </c>
      <c r="J23" s="35">
        <v>30</v>
      </c>
      <c r="K23" s="35">
        <v>288</v>
      </c>
      <c r="L23" s="35">
        <f t="shared" si="1"/>
        <v>371520</v>
      </c>
      <c r="M23" s="56">
        <f t="shared" si="2"/>
        <v>522000</v>
      </c>
    </row>
    <row r="24" spans="2:13" ht="15" customHeight="1" x14ac:dyDescent="0.2">
      <c r="B24" s="5" t="s">
        <v>111</v>
      </c>
      <c r="C24" s="9" t="s">
        <v>361</v>
      </c>
      <c r="D24" s="103"/>
      <c r="E24" s="32">
        <v>15</v>
      </c>
      <c r="F24" s="32">
        <v>95</v>
      </c>
      <c r="G24" s="32">
        <f>1.16*16666.66666</f>
        <v>19333.333325599997</v>
      </c>
      <c r="H24" s="7"/>
      <c r="I24" s="35">
        <f>G24*(1-H24)</f>
        <v>19333.333325599997</v>
      </c>
      <c r="J24" s="35">
        <v>30</v>
      </c>
      <c r="K24" s="35">
        <v>288</v>
      </c>
      <c r="L24" s="35">
        <f>K24*F24*J24</f>
        <v>820800</v>
      </c>
      <c r="M24" s="56">
        <f t="shared" si="2"/>
        <v>579999.99976799986</v>
      </c>
    </row>
    <row r="25" spans="2:13" ht="15" customHeight="1" x14ac:dyDescent="0.2">
      <c r="B25" s="10"/>
      <c r="C25" s="50" t="s">
        <v>172</v>
      </c>
      <c r="D25" s="31"/>
      <c r="E25" s="37"/>
      <c r="F25" s="36">
        <f>SUM(F11:F24)</f>
        <v>1192</v>
      </c>
      <c r="G25" s="36">
        <f>SUM(G11:G24)</f>
        <v>208799.99996751998</v>
      </c>
      <c r="H25" s="40"/>
      <c r="I25" s="36">
        <f>SUM(I11:I24)</f>
        <v>208799.99996751998</v>
      </c>
      <c r="J25" s="97"/>
      <c r="K25" s="98"/>
      <c r="L25" s="36">
        <f>SUM(L11:L24)</f>
        <v>10298880</v>
      </c>
      <c r="M25" s="36">
        <f>SUM(M11:M24)</f>
        <v>6263999.9990255991</v>
      </c>
    </row>
    <row r="26" spans="2:13" s="8" customFormat="1" ht="11.45" customHeight="1" x14ac:dyDescent="0.2">
      <c r="B26" s="5" t="s">
        <v>111</v>
      </c>
      <c r="C26" s="9" t="s">
        <v>155</v>
      </c>
      <c r="D26" s="101" t="s">
        <v>136</v>
      </c>
      <c r="E26" s="32">
        <v>15</v>
      </c>
      <c r="F26" s="32">
        <v>18</v>
      </c>
      <c r="G26" s="33">
        <f>1.16*13333.3333</f>
        <v>15466.666627999999</v>
      </c>
      <c r="H26" s="7"/>
      <c r="I26" s="34">
        <f>G26*(1-H26)</f>
        <v>15466.666627999999</v>
      </c>
      <c r="J26" s="35">
        <v>30</v>
      </c>
      <c r="K26" s="35">
        <v>288</v>
      </c>
      <c r="L26" s="35">
        <f t="shared" ref="L26:L34" si="10">K26*F26*J26</f>
        <v>155520</v>
      </c>
      <c r="M26" s="56">
        <f t="shared" si="2"/>
        <v>463999.99883999996</v>
      </c>
    </row>
    <row r="27" spans="2:13" s="8" customFormat="1" ht="11.45" customHeight="1" x14ac:dyDescent="0.2">
      <c r="B27" s="5" t="s">
        <v>111</v>
      </c>
      <c r="C27" s="9" t="s">
        <v>532</v>
      </c>
      <c r="D27" s="102"/>
      <c r="E27" s="32">
        <v>15</v>
      </c>
      <c r="F27" s="32">
        <v>12</v>
      </c>
      <c r="G27" s="33">
        <f>1.16*11666.66666</f>
        <v>13533.333325600001</v>
      </c>
      <c r="H27" s="7"/>
      <c r="I27" s="34">
        <f t="shared" ref="I27:I29" si="11">G27*(1-H27)</f>
        <v>13533.333325600001</v>
      </c>
      <c r="J27" s="35">
        <v>30</v>
      </c>
      <c r="K27" s="35">
        <v>288</v>
      </c>
      <c r="L27" s="35">
        <f t="shared" si="10"/>
        <v>103680</v>
      </c>
      <c r="M27" s="56">
        <f t="shared" si="2"/>
        <v>405999.99976800004</v>
      </c>
    </row>
    <row r="28" spans="2:13" s="8" customFormat="1" ht="11.45" customHeight="1" x14ac:dyDescent="0.2">
      <c r="B28" s="5" t="s">
        <v>111</v>
      </c>
      <c r="C28" s="9" t="s">
        <v>156</v>
      </c>
      <c r="D28" s="102"/>
      <c r="E28" s="32">
        <v>15</v>
      </c>
      <c r="F28" s="32">
        <v>5</v>
      </c>
      <c r="G28" s="33">
        <f>1.16*6666.66666</f>
        <v>7733.3333255999996</v>
      </c>
      <c r="H28" s="7"/>
      <c r="I28" s="34">
        <f t="shared" si="11"/>
        <v>7733.3333255999996</v>
      </c>
      <c r="J28" s="35">
        <v>30</v>
      </c>
      <c r="K28" s="35">
        <v>288</v>
      </c>
      <c r="L28" s="35">
        <f t="shared" si="10"/>
        <v>43200</v>
      </c>
      <c r="M28" s="56">
        <f t="shared" si="2"/>
        <v>231999.99976799998</v>
      </c>
    </row>
    <row r="29" spans="2:13" ht="11.25" customHeight="1" x14ac:dyDescent="0.2">
      <c r="B29" s="5" t="s">
        <v>111</v>
      </c>
      <c r="C29" s="11" t="s">
        <v>157</v>
      </c>
      <c r="D29" s="102"/>
      <c r="E29" s="32">
        <v>15</v>
      </c>
      <c r="F29" s="32">
        <v>4</v>
      </c>
      <c r="G29" s="33">
        <f>1.16*3333.333333</f>
        <v>3866.6666662799998</v>
      </c>
      <c r="H29" s="7"/>
      <c r="I29" s="34">
        <f t="shared" si="11"/>
        <v>3866.6666662799998</v>
      </c>
      <c r="J29" s="35">
        <v>30</v>
      </c>
      <c r="K29" s="35">
        <v>288</v>
      </c>
      <c r="L29" s="35">
        <f t="shared" si="10"/>
        <v>34560</v>
      </c>
      <c r="M29" s="56">
        <f t="shared" si="2"/>
        <v>115999.9999884</v>
      </c>
    </row>
    <row r="30" spans="2:13" ht="11.25" customHeight="1" x14ac:dyDescent="0.2">
      <c r="B30" s="5" t="s">
        <v>111</v>
      </c>
      <c r="C30" s="74" t="s">
        <v>395</v>
      </c>
      <c r="D30" s="102"/>
      <c r="E30" s="32">
        <v>15</v>
      </c>
      <c r="F30" s="32">
        <v>1</v>
      </c>
      <c r="G30" s="33">
        <f>1.16*1666.66666</f>
        <v>1933.3333256000001</v>
      </c>
      <c r="H30" s="7"/>
      <c r="I30" s="34">
        <f t="shared" ref="I30" si="12">G30*(1-H30)</f>
        <v>1933.3333256000001</v>
      </c>
      <c r="J30" s="35">
        <v>30</v>
      </c>
      <c r="K30" s="35">
        <v>288</v>
      </c>
      <c r="L30" s="35">
        <f t="shared" ref="L30" si="13">K30*F30*J30</f>
        <v>8640</v>
      </c>
      <c r="M30" s="56">
        <f t="shared" ref="M30" si="14">I30*J30</f>
        <v>57999.999768000001</v>
      </c>
    </row>
    <row r="31" spans="2:13" ht="11.25" customHeight="1" x14ac:dyDescent="0.2">
      <c r="B31" s="5" t="s">
        <v>111</v>
      </c>
      <c r="C31" s="9" t="s">
        <v>158</v>
      </c>
      <c r="D31" s="102"/>
      <c r="E31" s="32">
        <v>15</v>
      </c>
      <c r="F31" s="32">
        <v>1</v>
      </c>
      <c r="G31" s="33">
        <f>1.16*1666.66666</f>
        <v>1933.3333256000001</v>
      </c>
      <c r="H31" s="7"/>
      <c r="I31" s="34">
        <f t="shared" ref="I31:I32" si="15">G31*(1-H31)</f>
        <v>1933.3333256000001</v>
      </c>
      <c r="J31" s="35">
        <v>30</v>
      </c>
      <c r="K31" s="35">
        <v>288</v>
      </c>
      <c r="L31" s="35">
        <f t="shared" si="10"/>
        <v>8640</v>
      </c>
      <c r="M31" s="56">
        <f t="shared" si="2"/>
        <v>57999.999768000001</v>
      </c>
    </row>
    <row r="32" spans="2:13" ht="11.25" customHeight="1" x14ac:dyDescent="0.2">
      <c r="B32" s="5" t="s">
        <v>111</v>
      </c>
      <c r="C32" s="9" t="s">
        <v>159</v>
      </c>
      <c r="D32" s="102"/>
      <c r="E32" s="32">
        <v>15</v>
      </c>
      <c r="F32" s="32">
        <v>1</v>
      </c>
      <c r="G32" s="33">
        <f>1.16*1666.66666</f>
        <v>1933.3333256000001</v>
      </c>
      <c r="H32" s="7"/>
      <c r="I32" s="34">
        <f t="shared" si="15"/>
        <v>1933.3333256000001</v>
      </c>
      <c r="J32" s="35">
        <v>30</v>
      </c>
      <c r="K32" s="35">
        <v>288</v>
      </c>
      <c r="L32" s="35">
        <f t="shared" si="10"/>
        <v>8640</v>
      </c>
      <c r="M32" s="56">
        <f t="shared" si="2"/>
        <v>57999.999768000001</v>
      </c>
    </row>
    <row r="33" spans="2:13" ht="11.25" customHeight="1" x14ac:dyDescent="0.2">
      <c r="B33" s="5" t="s">
        <v>111</v>
      </c>
      <c r="C33" s="9" t="s">
        <v>160</v>
      </c>
      <c r="D33" s="102"/>
      <c r="E33" s="32">
        <v>15</v>
      </c>
      <c r="F33" s="32">
        <v>1</v>
      </c>
      <c r="G33" s="33">
        <f>1.16*1666.66666</f>
        <v>1933.3333256000001</v>
      </c>
      <c r="H33" s="7"/>
      <c r="I33" s="34">
        <f t="shared" ref="I33" si="16">G33*(1-H33)</f>
        <v>1933.3333256000001</v>
      </c>
      <c r="J33" s="35">
        <v>30</v>
      </c>
      <c r="K33" s="35">
        <v>288</v>
      </c>
      <c r="L33" s="35">
        <f t="shared" si="10"/>
        <v>8640</v>
      </c>
      <c r="M33" s="56">
        <f t="shared" ref="M33:M34" si="17">I33*J33</f>
        <v>57999.999768000001</v>
      </c>
    </row>
    <row r="34" spans="2:13" ht="11.25" customHeight="1" x14ac:dyDescent="0.2">
      <c r="B34" s="5" t="s">
        <v>111</v>
      </c>
      <c r="C34" s="9" t="s">
        <v>161</v>
      </c>
      <c r="D34" s="103"/>
      <c r="E34" s="32">
        <v>15</v>
      </c>
      <c r="F34" s="32">
        <v>2</v>
      </c>
      <c r="G34" s="33">
        <f>1.16*3333.33333</f>
        <v>3866.6666627999998</v>
      </c>
      <c r="H34" s="7"/>
      <c r="I34" s="34">
        <f t="shared" ref="I34" si="18">G34*(1-H34)</f>
        <v>3866.6666627999998</v>
      </c>
      <c r="J34" s="35">
        <v>30</v>
      </c>
      <c r="K34" s="35">
        <v>288</v>
      </c>
      <c r="L34" s="35">
        <f t="shared" si="10"/>
        <v>17280</v>
      </c>
      <c r="M34" s="56">
        <f t="shared" si="17"/>
        <v>115999.99988399999</v>
      </c>
    </row>
    <row r="35" spans="2:13" ht="15" customHeight="1" x14ac:dyDescent="0.2">
      <c r="B35" s="31"/>
      <c r="C35" s="50" t="s">
        <v>173</v>
      </c>
      <c r="D35" s="31"/>
      <c r="E35" s="37"/>
      <c r="F35" s="36">
        <f>SUM(F26:F34)</f>
        <v>45</v>
      </c>
      <c r="G35" s="36">
        <f>SUM(G26:G34)</f>
        <v>52199.999910679988</v>
      </c>
      <c r="H35" s="40"/>
      <c r="I35" s="36">
        <f>SUM(I26:I34)</f>
        <v>52199.999910679988</v>
      </c>
      <c r="J35" s="97"/>
      <c r="K35" s="98"/>
      <c r="L35" s="36">
        <f>SUM(L26:L34)</f>
        <v>388800</v>
      </c>
      <c r="M35" s="36">
        <f>SUM(M26:M34)</f>
        <v>1565999.9973204003</v>
      </c>
    </row>
    <row r="36" spans="2:13" s="8" customFormat="1" ht="12" customHeight="1" x14ac:dyDescent="0.2">
      <c r="B36" s="5" t="s">
        <v>112</v>
      </c>
      <c r="C36" s="9" t="s">
        <v>162</v>
      </c>
      <c r="D36" s="101" t="s">
        <v>113</v>
      </c>
      <c r="E36" s="32">
        <v>15</v>
      </c>
      <c r="F36" s="32">
        <v>53</v>
      </c>
      <c r="G36" s="33">
        <f>1.16*11666.666666</f>
        <v>13533.333332559998</v>
      </c>
      <c r="H36" s="7"/>
      <c r="I36" s="34">
        <f t="shared" ref="I36:I42" si="19">G36*(1-H36)</f>
        <v>13533.333332559998</v>
      </c>
      <c r="J36" s="35">
        <v>30</v>
      </c>
      <c r="K36" s="35">
        <v>288</v>
      </c>
      <c r="L36" s="35">
        <f>K36*F36*J36</f>
        <v>457920</v>
      </c>
      <c r="M36" s="56">
        <f>I36*J36</f>
        <v>405999.99997679994</v>
      </c>
    </row>
    <row r="37" spans="2:13" s="8" customFormat="1" ht="15" customHeight="1" x14ac:dyDescent="0.2">
      <c r="B37" s="5" t="s">
        <v>112</v>
      </c>
      <c r="C37" s="9" t="s">
        <v>163</v>
      </c>
      <c r="D37" s="102"/>
      <c r="E37" s="32">
        <v>15</v>
      </c>
      <c r="F37" s="32">
        <v>70</v>
      </c>
      <c r="G37" s="33">
        <f>1.16*11666.666666</f>
        <v>13533.333332559998</v>
      </c>
      <c r="H37" s="7"/>
      <c r="I37" s="34">
        <f t="shared" si="19"/>
        <v>13533.333332559998</v>
      </c>
      <c r="J37" s="35">
        <v>30</v>
      </c>
      <c r="K37" s="35">
        <v>288</v>
      </c>
      <c r="L37" s="35">
        <f>K37*F37*J37</f>
        <v>604800</v>
      </c>
      <c r="M37" s="56">
        <f>I37*J37</f>
        <v>405999.99997679994</v>
      </c>
    </row>
    <row r="38" spans="2:13" s="8" customFormat="1" ht="15" customHeight="1" x14ac:dyDescent="0.2">
      <c r="B38" s="5" t="s">
        <v>112</v>
      </c>
      <c r="C38" s="9" t="s">
        <v>164</v>
      </c>
      <c r="D38" s="102"/>
      <c r="E38" s="32">
        <v>15</v>
      </c>
      <c r="F38" s="32">
        <v>52</v>
      </c>
      <c r="G38" s="33">
        <f>1.16*11666.666666</f>
        <v>13533.333332559998</v>
      </c>
      <c r="H38" s="7"/>
      <c r="I38" s="34">
        <f t="shared" ref="I38" si="20">G38*(1-H38)</f>
        <v>13533.333332559998</v>
      </c>
      <c r="J38" s="35">
        <v>30</v>
      </c>
      <c r="K38" s="35">
        <v>288</v>
      </c>
      <c r="L38" s="35">
        <f>K38*F38*J38</f>
        <v>449280</v>
      </c>
      <c r="M38" s="56">
        <f>I38*J38</f>
        <v>405999.99997679994</v>
      </c>
    </row>
    <row r="39" spans="2:13" s="8" customFormat="1" ht="15" customHeight="1" x14ac:dyDescent="0.2">
      <c r="B39" s="5" t="s">
        <v>112</v>
      </c>
      <c r="C39" s="9" t="s">
        <v>170</v>
      </c>
      <c r="D39" s="102"/>
      <c r="E39" s="32">
        <v>15</v>
      </c>
      <c r="F39" s="32">
        <v>74</v>
      </c>
      <c r="G39" s="33">
        <f>1.16*13333.333</f>
        <v>15466.666279999999</v>
      </c>
      <c r="H39" s="7"/>
      <c r="I39" s="34">
        <f>G39*(1-H39)</f>
        <v>15466.666279999999</v>
      </c>
      <c r="J39" s="35">
        <v>30</v>
      </c>
      <c r="K39" s="35">
        <v>288</v>
      </c>
      <c r="L39" s="35">
        <f t="shared" ref="L39:L42" si="21">K39*F39*J39</f>
        <v>639360</v>
      </c>
      <c r="M39" s="56">
        <f t="shared" ref="M39:M42" si="22">I39*J39</f>
        <v>463999.98839999997</v>
      </c>
    </row>
    <row r="40" spans="2:13" s="8" customFormat="1" ht="15" customHeight="1" x14ac:dyDescent="0.2">
      <c r="B40" s="5" t="s">
        <v>112</v>
      </c>
      <c r="C40" s="9" t="s">
        <v>168</v>
      </c>
      <c r="D40" s="102"/>
      <c r="E40" s="32">
        <v>15</v>
      </c>
      <c r="F40" s="32">
        <v>76</v>
      </c>
      <c r="G40" s="33">
        <f>1.16*13333.33333</f>
        <v>15466.666662799998</v>
      </c>
      <c r="H40" s="7"/>
      <c r="I40" s="34">
        <f>G40*(1-H40)</f>
        <v>15466.666662799998</v>
      </c>
      <c r="J40" s="35">
        <v>30</v>
      </c>
      <c r="K40" s="35">
        <v>288</v>
      </c>
      <c r="L40" s="35">
        <f t="shared" si="21"/>
        <v>656640</v>
      </c>
      <c r="M40" s="56">
        <f t="shared" si="22"/>
        <v>463999.99988399993</v>
      </c>
    </row>
    <row r="41" spans="2:13" s="8" customFormat="1" ht="15" customHeight="1" x14ac:dyDescent="0.2">
      <c r="B41" s="5" t="s">
        <v>112</v>
      </c>
      <c r="C41" s="9" t="s">
        <v>375</v>
      </c>
      <c r="D41" s="102"/>
      <c r="E41" s="32">
        <v>15</v>
      </c>
      <c r="F41" s="32">
        <v>63</v>
      </c>
      <c r="G41" s="33">
        <f>1.16*13333.3333</f>
        <v>15466.666627999999</v>
      </c>
      <c r="H41" s="7"/>
      <c r="I41" s="34">
        <f>G41*(1-H41)</f>
        <v>15466.666627999999</v>
      </c>
      <c r="J41" s="35">
        <v>30</v>
      </c>
      <c r="K41" s="35">
        <v>288</v>
      </c>
      <c r="L41" s="35">
        <f t="shared" si="21"/>
        <v>544320</v>
      </c>
      <c r="M41" s="56">
        <f t="shared" si="22"/>
        <v>463999.99883999996</v>
      </c>
    </row>
    <row r="42" spans="2:13" s="8" customFormat="1" ht="15" customHeight="1" x14ac:dyDescent="0.2">
      <c r="B42" s="5" t="s">
        <v>112</v>
      </c>
      <c r="C42" s="9" t="s">
        <v>406</v>
      </c>
      <c r="D42" s="102"/>
      <c r="E42" s="32">
        <v>15</v>
      </c>
      <c r="F42" s="32">
        <v>73</v>
      </c>
      <c r="G42" s="33">
        <f>1.16*15000</f>
        <v>17400</v>
      </c>
      <c r="H42" s="7"/>
      <c r="I42" s="34">
        <f t="shared" si="19"/>
        <v>17400</v>
      </c>
      <c r="J42" s="35">
        <v>30</v>
      </c>
      <c r="K42" s="35">
        <v>288</v>
      </c>
      <c r="L42" s="35">
        <f t="shared" si="21"/>
        <v>630720</v>
      </c>
      <c r="M42" s="56">
        <f t="shared" si="22"/>
        <v>522000</v>
      </c>
    </row>
    <row r="43" spans="2:13" s="8" customFormat="1" ht="15" customHeight="1" x14ac:dyDescent="0.2">
      <c r="B43" s="5" t="s">
        <v>112</v>
      </c>
      <c r="C43" s="9" t="s">
        <v>407</v>
      </c>
      <c r="D43" s="103"/>
      <c r="E43" s="32">
        <v>15</v>
      </c>
      <c r="F43" s="32">
        <v>84</v>
      </c>
      <c r="G43" s="33">
        <f>1.16*15000</f>
        <v>17400</v>
      </c>
      <c r="H43" s="7"/>
      <c r="I43" s="34">
        <f t="shared" ref="I43" si="23">G43*(1-H43)</f>
        <v>17400</v>
      </c>
      <c r="J43" s="35">
        <v>30</v>
      </c>
      <c r="K43" s="35">
        <v>288</v>
      </c>
      <c r="L43" s="35">
        <f t="shared" ref="L43" si="24">K43*F43*J43</f>
        <v>725760</v>
      </c>
      <c r="M43" s="56">
        <f t="shared" ref="M43" si="25">I43*J43</f>
        <v>522000</v>
      </c>
    </row>
    <row r="44" spans="2:13" ht="15" customHeight="1" x14ac:dyDescent="0.2">
      <c r="B44" s="31"/>
      <c r="C44" s="50" t="s">
        <v>174</v>
      </c>
      <c r="D44" s="31"/>
      <c r="E44" s="37"/>
      <c r="F44" s="36">
        <f>SUM(F36:F43)</f>
        <v>545</v>
      </c>
      <c r="G44" s="36">
        <f>SUM(G36:G43)</f>
        <v>121799.99956847998</v>
      </c>
      <c r="H44" s="40"/>
      <c r="I44" s="36">
        <f>SUM(I36:I43)</f>
        <v>121799.99956847998</v>
      </c>
      <c r="J44" s="97"/>
      <c r="K44" s="98"/>
      <c r="L44" s="36">
        <f>SUM(L36:L43)</f>
        <v>4708800</v>
      </c>
      <c r="M44" s="36">
        <f>SUM(M36:M43)</f>
        <v>3653999.9870543997</v>
      </c>
    </row>
    <row r="45" spans="2:13" ht="15" customHeight="1" x14ac:dyDescent="0.2">
      <c r="B45" s="5" t="s">
        <v>112</v>
      </c>
      <c r="C45" s="73" t="s">
        <v>414</v>
      </c>
      <c r="D45" s="101" t="s">
        <v>136</v>
      </c>
      <c r="E45" s="32">
        <v>15</v>
      </c>
      <c r="F45" s="32">
        <v>6</v>
      </c>
      <c r="G45" s="33">
        <f>1.16*10000</f>
        <v>11600</v>
      </c>
      <c r="H45" s="7"/>
      <c r="I45" s="34">
        <f t="shared" ref="I45:I49" si="26">G45*(1-H45)</f>
        <v>11600</v>
      </c>
      <c r="J45" s="35">
        <v>30</v>
      </c>
      <c r="K45" s="35">
        <v>288</v>
      </c>
      <c r="L45" s="35">
        <f t="shared" ref="L45:L49" si="27">K45*F45*J45</f>
        <v>51840</v>
      </c>
      <c r="M45" s="56">
        <f t="shared" ref="M45:M51" si="28">I45*J45</f>
        <v>348000</v>
      </c>
    </row>
    <row r="46" spans="2:13" ht="15" customHeight="1" x14ac:dyDescent="0.2">
      <c r="B46" s="5" t="s">
        <v>112</v>
      </c>
      <c r="C46" s="73" t="s">
        <v>397</v>
      </c>
      <c r="D46" s="102"/>
      <c r="E46" s="32">
        <v>15</v>
      </c>
      <c r="F46" s="32">
        <v>2</v>
      </c>
      <c r="G46" s="33">
        <f>1.16*5000</f>
        <v>5800</v>
      </c>
      <c r="H46" s="7"/>
      <c r="I46" s="34">
        <f t="shared" si="26"/>
        <v>5800</v>
      </c>
      <c r="J46" s="35">
        <v>30</v>
      </c>
      <c r="K46" s="35">
        <v>288</v>
      </c>
      <c r="L46" s="35">
        <f t="shared" ref="L46" si="29">K46*F46*J46</f>
        <v>17280</v>
      </c>
      <c r="M46" s="56">
        <f t="shared" ref="M46" si="30">I46*J46</f>
        <v>174000</v>
      </c>
    </row>
    <row r="47" spans="2:13" ht="15" customHeight="1" x14ac:dyDescent="0.2">
      <c r="B47" s="5" t="s">
        <v>112</v>
      </c>
      <c r="C47" s="73" t="s">
        <v>473</v>
      </c>
      <c r="D47" s="102"/>
      <c r="E47" s="32">
        <v>15</v>
      </c>
      <c r="F47" s="32">
        <v>6</v>
      </c>
      <c r="G47" s="33">
        <f>1.16*5000</f>
        <v>5800</v>
      </c>
      <c r="H47" s="7"/>
      <c r="I47" s="34">
        <f t="shared" ref="I47" si="31">G47*(1-H47)</f>
        <v>5800</v>
      </c>
      <c r="J47" s="35">
        <v>30</v>
      </c>
      <c r="K47" s="35">
        <v>288</v>
      </c>
      <c r="L47" s="35">
        <f t="shared" ref="L47" si="32">K47*F47*J47</f>
        <v>51840</v>
      </c>
      <c r="M47" s="56">
        <f t="shared" ref="M47" si="33">I47*J47</f>
        <v>174000</v>
      </c>
    </row>
    <row r="48" spans="2:13" ht="15" customHeight="1" x14ac:dyDescent="0.2">
      <c r="B48" s="5" t="s">
        <v>112</v>
      </c>
      <c r="C48" s="75" t="s">
        <v>190</v>
      </c>
      <c r="D48" s="102"/>
      <c r="E48" s="32">
        <v>15</v>
      </c>
      <c r="F48" s="32">
        <v>4</v>
      </c>
      <c r="G48" s="33">
        <f>1.16*5000</f>
        <v>5800</v>
      </c>
      <c r="H48" s="7"/>
      <c r="I48" s="34">
        <f t="shared" si="26"/>
        <v>5800</v>
      </c>
      <c r="J48" s="35">
        <v>30</v>
      </c>
      <c r="K48" s="35">
        <v>288</v>
      </c>
      <c r="L48" s="35">
        <f t="shared" si="27"/>
        <v>34560</v>
      </c>
      <c r="M48" s="56">
        <f t="shared" si="28"/>
        <v>174000</v>
      </c>
    </row>
    <row r="49" spans="2:13" x14ac:dyDescent="0.2">
      <c r="B49" s="5" t="s">
        <v>112</v>
      </c>
      <c r="C49" s="9" t="s">
        <v>189</v>
      </c>
      <c r="D49" s="102"/>
      <c r="E49" s="32">
        <v>15</v>
      </c>
      <c r="F49" s="32">
        <v>3</v>
      </c>
      <c r="G49" s="33">
        <f>1.16*3333.3333</f>
        <v>3866.6666279999995</v>
      </c>
      <c r="H49" s="7"/>
      <c r="I49" s="34">
        <f t="shared" si="26"/>
        <v>3866.6666279999995</v>
      </c>
      <c r="J49" s="35">
        <v>30</v>
      </c>
      <c r="K49" s="35">
        <v>288</v>
      </c>
      <c r="L49" s="35">
        <f t="shared" si="27"/>
        <v>25920</v>
      </c>
      <c r="M49" s="56">
        <f t="shared" si="28"/>
        <v>115999.99883999999</v>
      </c>
    </row>
    <row r="50" spans="2:13" x14ac:dyDescent="0.2">
      <c r="B50" s="5" t="s">
        <v>112</v>
      </c>
      <c r="C50" s="9" t="s">
        <v>408</v>
      </c>
      <c r="D50" s="102"/>
      <c r="E50" s="32">
        <v>15</v>
      </c>
      <c r="F50" s="32">
        <v>3</v>
      </c>
      <c r="G50" s="33">
        <f>1.16*3333.33333</f>
        <v>3866.6666627999998</v>
      </c>
      <c r="H50" s="7"/>
      <c r="I50" s="34">
        <f t="shared" ref="I50" si="34">G50*(1-H50)</f>
        <v>3866.6666627999998</v>
      </c>
      <c r="J50" s="35">
        <v>30</v>
      </c>
      <c r="K50" s="35">
        <v>288</v>
      </c>
      <c r="L50" s="35">
        <f>K50*F50*J50</f>
        <v>25920</v>
      </c>
      <c r="M50" s="56">
        <f t="shared" si="28"/>
        <v>115999.99988399999</v>
      </c>
    </row>
    <row r="51" spans="2:13" x14ac:dyDescent="0.2">
      <c r="B51" s="5" t="s">
        <v>112</v>
      </c>
      <c r="C51" s="9" t="s">
        <v>191</v>
      </c>
      <c r="D51" s="102"/>
      <c r="E51" s="32">
        <v>15</v>
      </c>
      <c r="F51" s="32">
        <v>2</v>
      </c>
      <c r="G51" s="33">
        <f>1.16*2333.33333</f>
        <v>2706.6666627999998</v>
      </c>
      <c r="H51" s="7"/>
      <c r="I51" s="34">
        <f t="shared" ref="I51" si="35">G51*(1-H51)</f>
        <v>2706.6666627999998</v>
      </c>
      <c r="J51" s="35">
        <v>30</v>
      </c>
      <c r="K51" s="35">
        <v>288</v>
      </c>
      <c r="L51" s="35">
        <f>K51*F51*J51</f>
        <v>17280</v>
      </c>
      <c r="M51" s="56">
        <f t="shared" si="28"/>
        <v>81199.99988399999</v>
      </c>
    </row>
    <row r="52" spans="2:13" ht="12.75" x14ac:dyDescent="0.2">
      <c r="B52" s="31"/>
      <c r="C52" s="50" t="s">
        <v>192</v>
      </c>
      <c r="D52" s="57"/>
      <c r="E52" s="37"/>
      <c r="F52" s="36">
        <f>SUM(F45:F51)</f>
        <v>26</v>
      </c>
      <c r="G52" s="36">
        <f>SUM(G45:G51)</f>
        <v>39439.999953600003</v>
      </c>
      <c r="H52" s="40"/>
      <c r="I52" s="36">
        <f>SUM(I45:I51)</f>
        <v>39439.999953600003</v>
      </c>
      <c r="J52" s="97"/>
      <c r="K52" s="98"/>
      <c r="L52" s="36">
        <f>SUM(L45:L51)</f>
        <v>224640</v>
      </c>
      <c r="M52" s="36">
        <f>SUM(M45:M51)</f>
        <v>1183199.9986080001</v>
      </c>
    </row>
    <row r="53" spans="2:13" ht="12.75" x14ac:dyDescent="0.2">
      <c r="B53" s="104" t="s">
        <v>20</v>
      </c>
      <c r="C53" s="105"/>
      <c r="D53" s="106"/>
      <c r="E53" s="38"/>
      <c r="F53" s="39">
        <f>F25+F44+F35+F52</f>
        <v>1808</v>
      </c>
      <c r="G53" s="39">
        <f>G25+G44+G35+G52</f>
        <v>422239.99940027995</v>
      </c>
      <c r="H53" s="41"/>
      <c r="I53" s="39">
        <f>I25+I44+I35+I52</f>
        <v>422239.99940027995</v>
      </c>
      <c r="J53" s="99"/>
      <c r="K53" s="100"/>
      <c r="L53" s="39">
        <f>L25+L44+L35+L52</f>
        <v>15621120</v>
      </c>
      <c r="M53" s="39">
        <f>M25+M44+M35+M52</f>
        <v>12667199.982008399</v>
      </c>
    </row>
    <row r="54" spans="2:13" s="96" customFormat="1" ht="12.75" x14ac:dyDescent="0.2">
      <c r="B54" s="96" t="s">
        <v>574</v>
      </c>
    </row>
    <row r="55" spans="2:13" x14ac:dyDescent="0.2">
      <c r="B55" s="2" t="s">
        <v>571</v>
      </c>
    </row>
    <row r="56" spans="2:13" ht="15" x14ac:dyDescent="0.25">
      <c r="B56" s="95" t="s">
        <v>575</v>
      </c>
    </row>
    <row r="57" spans="2:13" x14ac:dyDescent="0.2">
      <c r="B57" s="2" t="s">
        <v>572</v>
      </c>
    </row>
    <row r="58" spans="2:13" ht="15" x14ac:dyDescent="0.25">
      <c r="B58" s="95" t="s">
        <v>576</v>
      </c>
    </row>
    <row r="59" spans="2:13" x14ac:dyDescent="0.2">
      <c r="B59" s="2" t="s">
        <v>573</v>
      </c>
    </row>
    <row r="60" spans="2:13" ht="15" x14ac:dyDescent="0.25">
      <c r="B60" s="95" t="s">
        <v>577</v>
      </c>
    </row>
    <row r="62" spans="2:13" x14ac:dyDescent="0.2">
      <c r="B62" s="2" t="s">
        <v>139</v>
      </c>
      <c r="D62" s="2" t="s">
        <v>113</v>
      </c>
      <c r="G62" s="2" t="s">
        <v>138</v>
      </c>
    </row>
  </sheetData>
  <mergeCells count="10">
    <mergeCell ref="J25:K25"/>
    <mergeCell ref="J44:K44"/>
    <mergeCell ref="J35:K35"/>
    <mergeCell ref="J53:K53"/>
    <mergeCell ref="D11:D24"/>
    <mergeCell ref="D26:D34"/>
    <mergeCell ref="B53:D53"/>
    <mergeCell ref="D45:D51"/>
    <mergeCell ref="J52:K52"/>
    <mergeCell ref="D36:D43"/>
  </mergeCells>
  <phoneticPr fontId="4" type="noConversion"/>
  <conditionalFormatting sqref="B11:C24 L11:M40 B26:C34 H26:K34 E28:G34">
    <cfRule type="cellIs" dxfId="13" priority="22" operator="equal">
      <formula>0</formula>
    </cfRule>
  </conditionalFormatting>
  <conditionalFormatting sqref="B37:C43 E37:E43 G41:M43">
    <cfRule type="cellIs" dxfId="12" priority="46" operator="equal">
      <formula>0</formula>
    </cfRule>
  </conditionalFormatting>
  <conditionalFormatting sqref="B45:D51">
    <cfRule type="cellIs" dxfId="11" priority="53" operator="equal">
      <formula>0</formula>
    </cfRule>
  </conditionalFormatting>
  <conditionalFormatting sqref="D11:E11 B25:J25 D26:G27 B35:J35 B36:E36 B44:J44 L44:M46 H45:K46 H47:M47 H48:K50 L48:M53 B52:J52 B53">
    <cfRule type="cellIs" dxfId="10" priority="104" operator="equal">
      <formula>0</formula>
    </cfRule>
  </conditionalFormatting>
  <conditionalFormatting sqref="E12:E22">
    <cfRule type="cellIs" dxfId="9" priority="21" operator="equal">
      <formula>0</formula>
    </cfRule>
  </conditionalFormatting>
  <conditionalFormatting sqref="E45:G50">
    <cfRule type="cellIs" dxfId="8" priority="69" operator="equal">
      <formula>0</formula>
    </cfRule>
  </conditionalFormatting>
  <conditionalFormatting sqref="E53:J53">
    <cfRule type="cellIs" dxfId="7" priority="103" operator="equal">
      <formula>0</formula>
    </cfRule>
  </conditionalFormatting>
  <conditionalFormatting sqref="E23:K24">
    <cfRule type="cellIs" dxfId="6" priority="58" operator="equal">
      <formula>0</formula>
    </cfRule>
  </conditionalFormatting>
  <conditionalFormatting sqref="E51:M51">
    <cfRule type="cellIs" dxfId="5" priority="51" operator="equal">
      <formula>0</formula>
    </cfRule>
  </conditionalFormatting>
  <conditionalFormatting sqref="F36:F43">
    <cfRule type="cellIs" dxfId="4" priority="44" operator="equal">
      <formula>0</formula>
    </cfRule>
  </conditionalFormatting>
  <conditionalFormatting sqref="F11:K22">
    <cfRule type="cellIs" dxfId="3" priority="20" operator="equal">
      <formula>0</formula>
    </cfRule>
  </conditionalFormatting>
  <conditionalFormatting sqref="G42:G43">
    <cfRule type="cellIs" dxfId="2" priority="326" operator="equal">
      <formula>0</formula>
    </cfRule>
  </conditionalFormatting>
  <conditionalFormatting sqref="G36:K40">
    <cfRule type="cellIs" dxfId="1" priority="2" operator="equal">
      <formula>0</formula>
    </cfRule>
  </conditionalFormatting>
  <conditionalFormatting sqref="I36:J43">
    <cfRule type="cellIs" dxfId="0" priority="47" operator="equal">
      <formula>0</formula>
    </cfRule>
  </conditionalFormatting>
  <pageMargins left="0.7" right="0.7" top="0.75" bottom="0.75" header="0.3" footer="0.3"/>
  <pageSetup paperSize="9" orientation="portrait" r:id="rId1"/>
  <ignoredErrors>
    <ignoredError sqref="I32 M28:M29 K32 K28:K29 K26 I26 M26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C545D"/>
  </sheetPr>
  <dimension ref="B2:H170"/>
  <sheetViews>
    <sheetView showGridLines="0" tabSelected="1" zoomScale="85" zoomScaleNormal="85" workbookViewId="0">
      <pane xSplit="1" ySplit="5" topLeftCell="B133" activePane="bottomRight" state="frozen"/>
      <selection pane="topRight" activeCell="B1" sqref="B1"/>
      <selection pane="bottomLeft" activeCell="A7" sqref="A7"/>
      <selection pane="bottomRight" activeCell="L34" sqref="L34"/>
    </sheetView>
  </sheetViews>
  <sheetFormatPr defaultColWidth="8.85546875" defaultRowHeight="11.25" x14ac:dyDescent="0.2"/>
  <cols>
    <col min="1" max="1" width="2.140625" style="1" customWidth="1"/>
    <col min="2" max="2" width="10.7109375" style="60" customWidth="1"/>
    <col min="3" max="3" width="30.28515625" style="61" bestFit="1" customWidth="1"/>
    <col min="4" max="4" width="42.5703125" style="60" customWidth="1"/>
    <col min="5" max="5" width="9.85546875" style="60" customWidth="1"/>
    <col min="6" max="6" width="11.140625" style="60" customWidth="1"/>
    <col min="7" max="8" width="9.85546875" style="60" customWidth="1"/>
    <col min="9" max="16384" width="8.85546875" style="1"/>
  </cols>
  <sheetData>
    <row r="2" spans="2:8" ht="12" x14ac:dyDescent="0.2">
      <c r="B2" s="115" t="s">
        <v>420</v>
      </c>
      <c r="C2" s="116"/>
      <c r="D2" s="116"/>
      <c r="E2" s="116"/>
      <c r="F2" s="116"/>
      <c r="G2" s="116"/>
      <c r="H2" s="116"/>
    </row>
    <row r="3" spans="2:8" ht="12" customHeight="1" x14ac:dyDescent="0.2">
      <c r="B3" s="117" t="s">
        <v>120</v>
      </c>
      <c r="C3" s="118"/>
      <c r="D3" s="118"/>
      <c r="E3" s="118"/>
      <c r="F3" s="118"/>
      <c r="G3" s="118"/>
      <c r="H3" s="118"/>
    </row>
    <row r="4" spans="2:8" ht="12" customHeight="1" x14ac:dyDescent="0.2">
      <c r="B4" s="111" t="s">
        <v>97</v>
      </c>
      <c r="C4" s="111" t="s">
        <v>6</v>
      </c>
      <c r="D4" s="111" t="s">
        <v>7</v>
      </c>
      <c r="E4" s="113" t="s">
        <v>8</v>
      </c>
      <c r="F4" s="114"/>
      <c r="G4" s="114"/>
      <c r="H4" s="114"/>
    </row>
    <row r="5" spans="2:8" ht="24" x14ac:dyDescent="0.2">
      <c r="B5" s="112"/>
      <c r="C5" s="112"/>
      <c r="D5" s="112"/>
      <c r="E5" s="55" t="s">
        <v>98</v>
      </c>
      <c r="F5" s="55" t="s">
        <v>99</v>
      </c>
      <c r="G5" s="55" t="s">
        <v>100</v>
      </c>
      <c r="H5" s="55" t="s">
        <v>9</v>
      </c>
    </row>
    <row r="6" spans="2:8" ht="12" x14ac:dyDescent="0.2">
      <c r="B6" s="109" t="s">
        <v>95</v>
      </c>
      <c r="C6" s="12" t="s">
        <v>10</v>
      </c>
      <c r="D6" s="21" t="s">
        <v>224</v>
      </c>
      <c r="E6" s="19">
        <v>8</v>
      </c>
      <c r="F6" s="19">
        <v>8</v>
      </c>
      <c r="G6" s="25">
        <v>10</v>
      </c>
      <c r="H6" s="19">
        <v>284</v>
      </c>
    </row>
    <row r="7" spans="2:8" ht="12" x14ac:dyDescent="0.2">
      <c r="B7" s="110"/>
      <c r="C7" s="12" t="s">
        <v>11</v>
      </c>
      <c r="D7" s="21" t="s">
        <v>226</v>
      </c>
      <c r="E7" s="19">
        <v>10</v>
      </c>
      <c r="F7" s="19">
        <v>10</v>
      </c>
      <c r="G7" s="25" t="s">
        <v>227</v>
      </c>
      <c r="H7" s="19">
        <v>380</v>
      </c>
    </row>
    <row r="8" spans="2:8" ht="12" x14ac:dyDescent="0.2">
      <c r="B8" s="110"/>
      <c r="C8" s="12" t="s">
        <v>12</v>
      </c>
      <c r="D8" s="21" t="s">
        <v>228</v>
      </c>
      <c r="E8" s="19">
        <v>24</v>
      </c>
      <c r="F8" s="19">
        <v>12</v>
      </c>
      <c r="G8" s="25" t="s">
        <v>13</v>
      </c>
      <c r="H8" s="19">
        <v>528</v>
      </c>
    </row>
    <row r="9" spans="2:8" ht="12" x14ac:dyDescent="0.2">
      <c r="B9" s="110"/>
      <c r="C9" s="12" t="s">
        <v>14</v>
      </c>
      <c r="D9" s="21" t="s">
        <v>229</v>
      </c>
      <c r="E9" s="19">
        <v>11</v>
      </c>
      <c r="F9" s="19">
        <v>11</v>
      </c>
      <c r="G9" s="25" t="s">
        <v>225</v>
      </c>
      <c r="H9" s="19">
        <v>600</v>
      </c>
    </row>
    <row r="10" spans="2:8" ht="12" x14ac:dyDescent="0.2">
      <c r="B10" s="110"/>
      <c r="C10" s="13" t="s">
        <v>15</v>
      </c>
      <c r="D10" s="13" t="s">
        <v>230</v>
      </c>
      <c r="E10" s="19">
        <v>32</v>
      </c>
      <c r="F10" s="19">
        <v>16</v>
      </c>
      <c r="G10" s="25" t="s">
        <v>19</v>
      </c>
      <c r="H10" s="19">
        <v>842</v>
      </c>
    </row>
    <row r="11" spans="2:8" ht="12" x14ac:dyDescent="0.2">
      <c r="B11" s="110"/>
      <c r="C11" s="12" t="s">
        <v>16</v>
      </c>
      <c r="D11" s="12" t="s">
        <v>231</v>
      </c>
      <c r="E11" s="19">
        <v>13</v>
      </c>
      <c r="F11" s="19">
        <v>13</v>
      </c>
      <c r="G11" s="25" t="s">
        <v>225</v>
      </c>
      <c r="H11" s="19">
        <v>660</v>
      </c>
    </row>
    <row r="12" spans="2:8" ht="12" x14ac:dyDescent="0.2">
      <c r="B12" s="110"/>
      <c r="C12" s="13" t="s">
        <v>425</v>
      </c>
      <c r="D12" s="13" t="s">
        <v>426</v>
      </c>
      <c r="E12" s="19">
        <v>5</v>
      </c>
      <c r="F12" s="19">
        <v>6</v>
      </c>
      <c r="G12" s="25" t="s">
        <v>55</v>
      </c>
      <c r="H12" s="19">
        <v>168</v>
      </c>
    </row>
    <row r="13" spans="2:8" ht="12" x14ac:dyDescent="0.2">
      <c r="B13" s="108" t="s">
        <v>20</v>
      </c>
      <c r="C13" s="108"/>
      <c r="D13" s="108"/>
      <c r="E13" s="55">
        <f>SUM(E6:E12)</f>
        <v>103</v>
      </c>
      <c r="F13" s="55">
        <f>SUM(F6:F12)</f>
        <v>76</v>
      </c>
      <c r="G13" s="55">
        <f>SUM(G6:G12)</f>
        <v>10</v>
      </c>
      <c r="H13" s="14">
        <f>SUM(H6:H12)</f>
        <v>3462</v>
      </c>
    </row>
    <row r="14" spans="2:8" ht="12" x14ac:dyDescent="0.2">
      <c r="B14" s="107" t="s">
        <v>96</v>
      </c>
      <c r="C14" s="12" t="s">
        <v>234</v>
      </c>
      <c r="D14" s="16" t="s">
        <v>235</v>
      </c>
      <c r="E14" s="17">
        <v>20</v>
      </c>
      <c r="F14" s="17">
        <v>20</v>
      </c>
      <c r="G14" s="18" t="s">
        <v>21</v>
      </c>
      <c r="H14" s="17">
        <v>484</v>
      </c>
    </row>
    <row r="15" spans="2:8" ht="12" x14ac:dyDescent="0.2">
      <c r="B15" s="107"/>
      <c r="C15" s="12" t="s">
        <v>236</v>
      </c>
      <c r="D15" s="16" t="s">
        <v>237</v>
      </c>
      <c r="E15" s="17">
        <v>12</v>
      </c>
      <c r="F15" s="17">
        <v>14</v>
      </c>
      <c r="G15" s="18">
        <v>9</v>
      </c>
      <c r="H15" s="17">
        <v>336</v>
      </c>
    </row>
    <row r="16" spans="2:8" ht="12" x14ac:dyDescent="0.2">
      <c r="B16" s="107"/>
      <c r="C16" s="15" t="s">
        <v>238</v>
      </c>
      <c r="D16" s="16" t="s">
        <v>239</v>
      </c>
      <c r="E16" s="17">
        <v>15</v>
      </c>
      <c r="F16" s="17">
        <v>15</v>
      </c>
      <c r="G16" s="18" t="s">
        <v>21</v>
      </c>
      <c r="H16" s="17">
        <v>616</v>
      </c>
    </row>
    <row r="17" spans="2:8" ht="12" x14ac:dyDescent="0.2">
      <c r="B17" s="107"/>
      <c r="C17" s="13" t="s">
        <v>22</v>
      </c>
      <c r="D17" s="17" t="s">
        <v>240</v>
      </c>
      <c r="E17" s="17">
        <v>13</v>
      </c>
      <c r="F17" s="17">
        <v>13</v>
      </c>
      <c r="G17" s="18">
        <v>12</v>
      </c>
      <c r="H17" s="15">
        <v>552</v>
      </c>
    </row>
    <row r="18" spans="2:8" ht="12" x14ac:dyDescent="0.2">
      <c r="B18" s="107"/>
      <c r="C18" s="12" t="s">
        <v>23</v>
      </c>
      <c r="D18" s="21" t="s">
        <v>241</v>
      </c>
      <c r="E18" s="17">
        <v>11</v>
      </c>
      <c r="F18" s="17">
        <v>11</v>
      </c>
      <c r="G18" s="18">
        <v>12</v>
      </c>
      <c r="H18" s="17">
        <v>468</v>
      </c>
    </row>
    <row r="19" spans="2:8" ht="12" x14ac:dyDescent="0.2">
      <c r="B19" s="107"/>
      <c r="C19" s="12" t="s">
        <v>24</v>
      </c>
      <c r="D19" s="21" t="s">
        <v>242</v>
      </c>
      <c r="E19" s="17">
        <v>13</v>
      </c>
      <c r="F19" s="17">
        <v>7</v>
      </c>
      <c r="G19" s="18" t="s">
        <v>243</v>
      </c>
      <c r="H19" s="17">
        <v>548</v>
      </c>
    </row>
    <row r="20" spans="2:8" ht="12" x14ac:dyDescent="0.2">
      <c r="B20" s="107"/>
      <c r="C20" s="12" t="s">
        <v>25</v>
      </c>
      <c r="D20" s="12" t="s">
        <v>244</v>
      </c>
      <c r="E20" s="17">
        <v>4</v>
      </c>
      <c r="F20" s="17">
        <v>4</v>
      </c>
      <c r="G20" s="18">
        <v>14</v>
      </c>
      <c r="H20" s="17">
        <v>297</v>
      </c>
    </row>
    <row r="21" spans="2:8" ht="12" x14ac:dyDescent="0.2">
      <c r="B21" s="107"/>
      <c r="C21" s="12" t="s">
        <v>245</v>
      </c>
      <c r="D21" s="12" t="s">
        <v>246</v>
      </c>
      <c r="E21" s="17">
        <v>4</v>
      </c>
      <c r="F21" s="17">
        <v>2</v>
      </c>
      <c r="G21" s="18" t="s">
        <v>19</v>
      </c>
      <c r="H21" s="17">
        <v>222</v>
      </c>
    </row>
    <row r="22" spans="2:8" ht="12" x14ac:dyDescent="0.2">
      <c r="B22" s="107"/>
      <c r="C22" s="12" t="s">
        <v>26</v>
      </c>
      <c r="D22" s="12" t="s">
        <v>247</v>
      </c>
      <c r="E22" s="17">
        <v>3</v>
      </c>
      <c r="F22" s="17">
        <v>1</v>
      </c>
      <c r="G22" s="18" t="s">
        <v>18</v>
      </c>
      <c r="H22" s="17">
        <v>154</v>
      </c>
    </row>
    <row r="23" spans="2:8" ht="12" x14ac:dyDescent="0.2">
      <c r="B23" s="107"/>
      <c r="C23" s="12" t="s">
        <v>26</v>
      </c>
      <c r="D23" s="12" t="s">
        <v>248</v>
      </c>
      <c r="E23" s="17">
        <v>3</v>
      </c>
      <c r="F23" s="17">
        <v>1</v>
      </c>
      <c r="G23" s="18" t="s">
        <v>18</v>
      </c>
      <c r="H23" s="17">
        <v>154</v>
      </c>
    </row>
    <row r="24" spans="2:8" ht="12" x14ac:dyDescent="0.2">
      <c r="B24" s="108" t="s">
        <v>20</v>
      </c>
      <c r="C24" s="108"/>
      <c r="D24" s="108"/>
      <c r="E24" s="55">
        <f>SUM(E14:E23)</f>
        <v>98</v>
      </c>
      <c r="F24" s="55">
        <f>SUM(F14:F23)</f>
        <v>88</v>
      </c>
      <c r="G24" s="55">
        <f>SUM(G14:G23)</f>
        <v>47</v>
      </c>
      <c r="H24" s="14">
        <f>SUM(H14:H23)</f>
        <v>3831</v>
      </c>
    </row>
    <row r="25" spans="2:8" ht="12" x14ac:dyDescent="0.2">
      <c r="B25" s="109" t="s">
        <v>372</v>
      </c>
      <c r="C25" s="12" t="s">
        <v>42</v>
      </c>
      <c r="D25" s="21" t="s">
        <v>272</v>
      </c>
      <c r="E25" s="19">
        <v>5</v>
      </c>
      <c r="F25" s="19">
        <v>5</v>
      </c>
      <c r="G25" s="25">
        <v>12</v>
      </c>
      <c r="H25" s="19">
        <v>130</v>
      </c>
    </row>
    <row r="26" spans="2:8" ht="15" customHeight="1" x14ac:dyDescent="0.2">
      <c r="B26" s="110"/>
      <c r="C26" s="12" t="s">
        <v>43</v>
      </c>
      <c r="D26" s="21" t="s">
        <v>273</v>
      </c>
      <c r="E26" s="19">
        <v>12</v>
      </c>
      <c r="F26" s="19">
        <v>12</v>
      </c>
      <c r="G26" s="25">
        <v>16</v>
      </c>
      <c r="H26" s="19">
        <v>286</v>
      </c>
    </row>
    <row r="27" spans="2:8" ht="15" customHeight="1" x14ac:dyDescent="0.2">
      <c r="B27" s="110"/>
      <c r="C27" s="12" t="s">
        <v>44</v>
      </c>
      <c r="D27" s="21" t="s">
        <v>274</v>
      </c>
      <c r="E27" s="19">
        <v>6</v>
      </c>
      <c r="F27" s="19">
        <v>6</v>
      </c>
      <c r="G27" s="25" t="s">
        <v>275</v>
      </c>
      <c r="H27" s="19">
        <v>200</v>
      </c>
    </row>
    <row r="28" spans="2:8" ht="15" customHeight="1" x14ac:dyDescent="0.2">
      <c r="B28" s="110"/>
      <c r="C28" s="12" t="s">
        <v>45</v>
      </c>
      <c r="D28" s="21" t="s">
        <v>276</v>
      </c>
      <c r="E28" s="19">
        <v>4</v>
      </c>
      <c r="F28" s="19">
        <v>4</v>
      </c>
      <c r="G28" s="25">
        <v>18</v>
      </c>
      <c r="H28" s="19">
        <v>260</v>
      </c>
    </row>
    <row r="29" spans="2:8" ht="15" customHeight="1" x14ac:dyDescent="0.2">
      <c r="B29" s="110"/>
      <c r="C29" s="12" t="s">
        <v>46</v>
      </c>
      <c r="D29" s="19" t="s">
        <v>277</v>
      </c>
      <c r="E29" s="19">
        <v>4</v>
      </c>
      <c r="F29" s="19">
        <v>4</v>
      </c>
      <c r="G29" s="25">
        <v>10</v>
      </c>
      <c r="H29" s="19">
        <v>132</v>
      </c>
    </row>
    <row r="30" spans="2:8" ht="15" customHeight="1" x14ac:dyDescent="0.2">
      <c r="B30" s="110"/>
      <c r="C30" s="12" t="s">
        <v>47</v>
      </c>
      <c r="D30" s="19" t="s">
        <v>278</v>
      </c>
      <c r="E30" s="19">
        <v>4</v>
      </c>
      <c r="F30" s="19">
        <v>4</v>
      </c>
      <c r="G30" s="25">
        <v>9</v>
      </c>
      <c r="H30" s="19">
        <v>144</v>
      </c>
    </row>
    <row r="31" spans="2:8" ht="15" customHeight="1" x14ac:dyDescent="0.2">
      <c r="B31" s="110"/>
      <c r="C31" s="12" t="s">
        <v>279</v>
      </c>
      <c r="D31" s="21" t="s">
        <v>280</v>
      </c>
      <c r="E31" s="19">
        <v>11</v>
      </c>
      <c r="F31" s="19">
        <v>11</v>
      </c>
      <c r="G31" s="25">
        <v>14</v>
      </c>
      <c r="H31" s="19">
        <v>646</v>
      </c>
    </row>
    <row r="32" spans="2:8" ht="15" customHeight="1" x14ac:dyDescent="0.2">
      <c r="B32" s="110"/>
      <c r="C32" s="12" t="s">
        <v>48</v>
      </c>
      <c r="D32" s="21" t="s">
        <v>281</v>
      </c>
      <c r="E32" s="58">
        <v>4</v>
      </c>
      <c r="F32" s="58">
        <v>4</v>
      </c>
      <c r="G32" s="59" t="s">
        <v>21</v>
      </c>
      <c r="H32" s="58">
        <v>104</v>
      </c>
    </row>
    <row r="33" spans="2:8" ht="15" customHeight="1" x14ac:dyDescent="0.2">
      <c r="B33" s="110"/>
      <c r="C33" s="12" t="s">
        <v>49</v>
      </c>
      <c r="D33" s="21" t="s">
        <v>282</v>
      </c>
      <c r="E33" s="19">
        <v>8</v>
      </c>
      <c r="F33" s="19">
        <v>9</v>
      </c>
      <c r="G33" s="25" t="s">
        <v>50</v>
      </c>
      <c r="H33" s="19">
        <v>409</v>
      </c>
    </row>
    <row r="34" spans="2:8" ht="15" customHeight="1" x14ac:dyDescent="0.2">
      <c r="B34" s="110"/>
      <c r="C34" s="13" t="s">
        <v>51</v>
      </c>
      <c r="D34" s="13" t="s">
        <v>283</v>
      </c>
      <c r="E34" s="13">
        <v>8</v>
      </c>
      <c r="F34" s="13">
        <v>9</v>
      </c>
      <c r="G34" s="25" t="s">
        <v>50</v>
      </c>
      <c r="H34" s="19">
        <v>501</v>
      </c>
    </row>
    <row r="35" spans="2:8" ht="15" customHeight="1" x14ac:dyDescent="0.2">
      <c r="B35" s="110"/>
      <c r="C35" s="12" t="s">
        <v>52</v>
      </c>
      <c r="D35" s="12" t="s">
        <v>284</v>
      </c>
      <c r="E35" s="13">
        <v>6</v>
      </c>
      <c r="F35" s="13">
        <v>6</v>
      </c>
      <c r="G35" s="25" t="s">
        <v>251</v>
      </c>
      <c r="H35" s="19">
        <v>186</v>
      </c>
    </row>
    <row r="36" spans="2:8" ht="15" customHeight="1" x14ac:dyDescent="0.2">
      <c r="B36" s="110"/>
      <c r="C36" s="13" t="s">
        <v>27</v>
      </c>
      <c r="D36" s="13" t="s">
        <v>521</v>
      </c>
      <c r="E36" s="13">
        <v>2</v>
      </c>
      <c r="F36" s="13">
        <v>2</v>
      </c>
      <c r="G36" s="18" t="s">
        <v>19</v>
      </c>
      <c r="H36" s="15">
        <v>128</v>
      </c>
    </row>
    <row r="37" spans="2:8" ht="15" customHeight="1" x14ac:dyDescent="0.2">
      <c r="B37" s="110"/>
      <c r="C37" s="12" t="s">
        <v>28</v>
      </c>
      <c r="D37" s="12" t="s">
        <v>249</v>
      </c>
      <c r="E37" s="13">
        <v>7</v>
      </c>
      <c r="F37" s="13">
        <v>7</v>
      </c>
      <c r="G37" s="18" t="s">
        <v>50</v>
      </c>
      <c r="H37" s="17">
        <v>331</v>
      </c>
    </row>
    <row r="38" spans="2:8" ht="15" customHeight="1" x14ac:dyDescent="0.2">
      <c r="B38" s="110"/>
      <c r="C38" s="12" t="s">
        <v>29</v>
      </c>
      <c r="D38" s="12" t="s">
        <v>250</v>
      </c>
      <c r="E38" s="13">
        <v>6</v>
      </c>
      <c r="F38" s="13">
        <v>6</v>
      </c>
      <c r="G38" s="18" t="s">
        <v>251</v>
      </c>
      <c r="H38" s="17">
        <v>166</v>
      </c>
    </row>
    <row r="39" spans="2:8" ht="15" customHeight="1" x14ac:dyDescent="0.2">
      <c r="B39" s="110"/>
      <c r="C39" s="12" t="s">
        <v>33</v>
      </c>
      <c r="D39" s="16" t="s">
        <v>256</v>
      </c>
      <c r="E39" s="17">
        <v>5</v>
      </c>
      <c r="F39" s="17">
        <v>5</v>
      </c>
      <c r="G39" s="18">
        <v>16</v>
      </c>
      <c r="H39" s="17">
        <v>200</v>
      </c>
    </row>
    <row r="40" spans="2:8" ht="12" x14ac:dyDescent="0.2">
      <c r="B40" s="108" t="s">
        <v>20</v>
      </c>
      <c r="C40" s="108"/>
      <c r="D40" s="108"/>
      <c r="E40" s="55">
        <f>SUM(E25:E39)</f>
        <v>92</v>
      </c>
      <c r="F40" s="55">
        <f>SUM(F25:F39)</f>
        <v>94</v>
      </c>
      <c r="G40" s="22">
        <f>SUM(G25:G39)</f>
        <v>95</v>
      </c>
      <c r="H40" s="14">
        <f>SUM(H25:H39)</f>
        <v>3823</v>
      </c>
    </row>
    <row r="41" spans="2:8" ht="12" x14ac:dyDescent="0.2">
      <c r="B41" s="107" t="s">
        <v>373</v>
      </c>
      <c r="C41" s="12" t="s">
        <v>285</v>
      </c>
      <c r="D41" s="16" t="s">
        <v>498</v>
      </c>
      <c r="E41" s="17">
        <v>7</v>
      </c>
      <c r="F41" s="17">
        <v>14</v>
      </c>
      <c r="G41" s="18">
        <v>12</v>
      </c>
      <c r="H41" s="17">
        <v>636</v>
      </c>
    </row>
    <row r="42" spans="2:8" ht="12" x14ac:dyDescent="0.2">
      <c r="B42" s="107"/>
      <c r="C42" s="12" t="s">
        <v>286</v>
      </c>
      <c r="D42" s="16" t="s">
        <v>287</v>
      </c>
      <c r="E42" s="17">
        <v>14</v>
      </c>
      <c r="F42" s="17">
        <v>14</v>
      </c>
      <c r="G42" s="18" t="s">
        <v>251</v>
      </c>
      <c r="H42" s="17">
        <v>636</v>
      </c>
    </row>
    <row r="43" spans="2:8" ht="12" x14ac:dyDescent="0.2">
      <c r="B43" s="107"/>
      <c r="C43" s="12" t="s">
        <v>53</v>
      </c>
      <c r="D43" s="16" t="s">
        <v>288</v>
      </c>
      <c r="E43" s="17">
        <v>8</v>
      </c>
      <c r="F43" s="17">
        <v>9</v>
      </c>
      <c r="G43" s="18">
        <v>12</v>
      </c>
      <c r="H43" s="17">
        <v>278</v>
      </c>
    </row>
    <row r="44" spans="2:8" ht="12" x14ac:dyDescent="0.2">
      <c r="B44" s="107"/>
      <c r="C44" s="12" t="s">
        <v>289</v>
      </c>
      <c r="D44" s="16" t="s">
        <v>290</v>
      </c>
      <c r="E44" s="17">
        <v>4</v>
      </c>
      <c r="F44" s="17">
        <v>4</v>
      </c>
      <c r="G44" s="18" t="s">
        <v>21</v>
      </c>
      <c r="H44" s="17">
        <v>146</v>
      </c>
    </row>
    <row r="45" spans="2:8" ht="12" x14ac:dyDescent="0.2">
      <c r="B45" s="107"/>
      <c r="C45" s="12" t="s">
        <v>54</v>
      </c>
      <c r="D45" s="16" t="s">
        <v>291</v>
      </c>
      <c r="E45" s="17">
        <v>3</v>
      </c>
      <c r="F45" s="17">
        <v>3</v>
      </c>
      <c r="G45" s="18">
        <v>9</v>
      </c>
      <c r="H45" s="17">
        <v>100</v>
      </c>
    </row>
    <row r="46" spans="2:8" ht="12" x14ac:dyDescent="0.2">
      <c r="B46" s="107"/>
      <c r="C46" s="12" t="s">
        <v>292</v>
      </c>
      <c r="D46" s="16" t="s">
        <v>56</v>
      </c>
      <c r="E46" s="17">
        <v>6</v>
      </c>
      <c r="F46" s="17">
        <v>6</v>
      </c>
      <c r="G46" s="18" t="s">
        <v>21</v>
      </c>
      <c r="H46" s="17">
        <v>162</v>
      </c>
    </row>
    <row r="47" spans="2:8" ht="12" x14ac:dyDescent="0.2">
      <c r="B47" s="107"/>
      <c r="C47" s="12" t="s">
        <v>293</v>
      </c>
      <c r="D47" s="16" t="s">
        <v>294</v>
      </c>
      <c r="E47" s="17">
        <v>2</v>
      </c>
      <c r="F47" s="17">
        <v>2</v>
      </c>
      <c r="G47" s="18">
        <v>10</v>
      </c>
      <c r="H47" s="17">
        <v>101</v>
      </c>
    </row>
    <row r="48" spans="2:8" ht="12" x14ac:dyDescent="0.2">
      <c r="B48" s="107"/>
      <c r="C48" s="12" t="s">
        <v>295</v>
      </c>
      <c r="D48" s="16" t="s">
        <v>296</v>
      </c>
      <c r="E48" s="17">
        <v>4</v>
      </c>
      <c r="F48" s="17">
        <v>4</v>
      </c>
      <c r="G48" s="18">
        <v>10</v>
      </c>
      <c r="H48" s="17">
        <v>116</v>
      </c>
    </row>
    <row r="49" spans="2:8" ht="12" x14ac:dyDescent="0.2">
      <c r="B49" s="107"/>
      <c r="C49" s="12" t="s">
        <v>297</v>
      </c>
      <c r="D49" s="16" t="s">
        <v>298</v>
      </c>
      <c r="E49" s="17">
        <v>5</v>
      </c>
      <c r="F49" s="17">
        <v>5</v>
      </c>
      <c r="G49" s="18" t="s">
        <v>55</v>
      </c>
      <c r="H49" s="17">
        <v>116</v>
      </c>
    </row>
    <row r="50" spans="2:8" ht="12" x14ac:dyDescent="0.2">
      <c r="B50" s="107"/>
      <c r="C50" s="12" t="s">
        <v>297</v>
      </c>
      <c r="D50" s="16" t="s">
        <v>299</v>
      </c>
      <c r="E50" s="17">
        <v>4</v>
      </c>
      <c r="F50" s="17">
        <v>4</v>
      </c>
      <c r="G50" s="18" t="s">
        <v>55</v>
      </c>
      <c r="H50" s="17">
        <v>115</v>
      </c>
    </row>
    <row r="51" spans="2:8" ht="12" x14ac:dyDescent="0.2">
      <c r="B51" s="107"/>
      <c r="C51" s="12" t="s">
        <v>300</v>
      </c>
      <c r="D51" s="16" t="s">
        <v>301</v>
      </c>
      <c r="E51" s="17">
        <v>4</v>
      </c>
      <c r="F51" s="17">
        <v>4</v>
      </c>
      <c r="G51" s="18" t="s">
        <v>57</v>
      </c>
      <c r="H51" s="17">
        <v>60</v>
      </c>
    </row>
    <row r="52" spans="2:8" ht="24" x14ac:dyDescent="0.2">
      <c r="B52" s="107"/>
      <c r="C52" s="12" t="s">
        <v>302</v>
      </c>
      <c r="D52" s="16" t="s">
        <v>303</v>
      </c>
      <c r="E52" s="17">
        <v>12</v>
      </c>
      <c r="F52" s="17">
        <v>6</v>
      </c>
      <c r="G52" s="18">
        <v>24</v>
      </c>
      <c r="H52" s="17">
        <v>891</v>
      </c>
    </row>
    <row r="53" spans="2:8" ht="12" x14ac:dyDescent="0.2">
      <c r="B53" s="107"/>
      <c r="C53" s="12" t="s">
        <v>302</v>
      </c>
      <c r="D53" s="16" t="s">
        <v>304</v>
      </c>
      <c r="E53" s="17">
        <v>8</v>
      </c>
      <c r="F53" s="17">
        <v>4</v>
      </c>
      <c r="G53" s="18">
        <v>19</v>
      </c>
      <c r="H53" s="17">
        <v>520</v>
      </c>
    </row>
    <row r="54" spans="2:8" ht="12" x14ac:dyDescent="0.2">
      <c r="B54" s="107"/>
      <c r="C54" s="13" t="s">
        <v>58</v>
      </c>
      <c r="D54" s="17" t="s">
        <v>305</v>
      </c>
      <c r="E54" s="17">
        <v>5</v>
      </c>
      <c r="F54" s="17">
        <v>5</v>
      </c>
      <c r="G54" s="18">
        <v>9</v>
      </c>
      <c r="H54" s="17">
        <v>216</v>
      </c>
    </row>
    <row r="55" spans="2:8" ht="12" x14ac:dyDescent="0.2">
      <c r="B55" s="108" t="s">
        <v>20</v>
      </c>
      <c r="C55" s="108"/>
      <c r="D55" s="108"/>
      <c r="E55" s="55">
        <f>SUM(E41:E54)</f>
        <v>86</v>
      </c>
      <c r="F55" s="55">
        <f>SUM(F41:F54)</f>
        <v>84</v>
      </c>
      <c r="G55" s="55">
        <f>SUM(G41:G54)</f>
        <v>105</v>
      </c>
      <c r="H55" s="14">
        <f>SUM(H41:H54)</f>
        <v>4093</v>
      </c>
    </row>
    <row r="56" spans="2:8" ht="12" x14ac:dyDescent="0.2">
      <c r="B56" s="107" t="s">
        <v>175</v>
      </c>
      <c r="C56" s="12" t="s">
        <v>59</v>
      </c>
      <c r="D56" s="16" t="s">
        <v>306</v>
      </c>
      <c r="E56" s="17">
        <v>9</v>
      </c>
      <c r="F56" s="17">
        <v>11</v>
      </c>
      <c r="G56" s="18">
        <v>15</v>
      </c>
      <c r="H56" s="17">
        <v>468</v>
      </c>
    </row>
    <row r="57" spans="2:8" ht="12" x14ac:dyDescent="0.2">
      <c r="B57" s="107"/>
      <c r="C57" s="12" t="s">
        <v>60</v>
      </c>
      <c r="D57" s="16" t="s">
        <v>307</v>
      </c>
      <c r="E57" s="17">
        <v>8</v>
      </c>
      <c r="F57" s="17">
        <v>8</v>
      </c>
      <c r="G57" s="18">
        <v>24</v>
      </c>
      <c r="H57" s="17">
        <v>466</v>
      </c>
    </row>
    <row r="58" spans="2:8" ht="12" x14ac:dyDescent="0.2">
      <c r="B58" s="107"/>
      <c r="C58" s="12" t="s">
        <v>61</v>
      </c>
      <c r="D58" s="16" t="s">
        <v>308</v>
      </c>
      <c r="E58" s="17">
        <v>10</v>
      </c>
      <c r="F58" s="17">
        <v>13</v>
      </c>
      <c r="G58" s="18">
        <v>12</v>
      </c>
      <c r="H58" s="17">
        <v>373</v>
      </c>
    </row>
    <row r="59" spans="2:8" ht="12" x14ac:dyDescent="0.2">
      <c r="B59" s="107"/>
      <c r="C59" s="12" t="s">
        <v>62</v>
      </c>
      <c r="D59" s="16" t="s">
        <v>309</v>
      </c>
      <c r="E59" s="17">
        <v>8</v>
      </c>
      <c r="F59" s="17">
        <v>8</v>
      </c>
      <c r="G59" s="18">
        <v>16</v>
      </c>
      <c r="H59" s="17">
        <v>502</v>
      </c>
    </row>
    <row r="60" spans="2:8" ht="12" x14ac:dyDescent="0.2">
      <c r="B60" s="107"/>
      <c r="C60" s="12" t="s">
        <v>310</v>
      </c>
      <c r="D60" s="16" t="s">
        <v>311</v>
      </c>
      <c r="E60" s="17">
        <v>5</v>
      </c>
      <c r="F60" s="17">
        <v>5</v>
      </c>
      <c r="G60" s="18">
        <v>11</v>
      </c>
      <c r="H60" s="17">
        <v>190</v>
      </c>
    </row>
    <row r="61" spans="2:8" ht="12" x14ac:dyDescent="0.2">
      <c r="B61" s="107"/>
      <c r="C61" s="15" t="s">
        <v>504</v>
      </c>
      <c r="D61" s="15" t="s">
        <v>505</v>
      </c>
      <c r="E61" s="17">
        <v>2</v>
      </c>
      <c r="F61" s="17">
        <v>1</v>
      </c>
      <c r="G61" s="18" t="s">
        <v>19</v>
      </c>
      <c r="H61" s="17">
        <v>64</v>
      </c>
    </row>
    <row r="62" spans="2:8" ht="12" x14ac:dyDescent="0.2">
      <c r="B62" s="107"/>
      <c r="C62" s="15" t="s">
        <v>312</v>
      </c>
      <c r="D62" s="15" t="s">
        <v>313</v>
      </c>
      <c r="E62" s="17">
        <v>2</v>
      </c>
      <c r="F62" s="17">
        <v>3</v>
      </c>
      <c r="G62" s="18">
        <v>9</v>
      </c>
      <c r="H62" s="17">
        <v>90</v>
      </c>
    </row>
    <row r="63" spans="2:8" ht="12" x14ac:dyDescent="0.2">
      <c r="B63" s="107"/>
      <c r="C63" s="15" t="s">
        <v>314</v>
      </c>
      <c r="D63" s="15" t="s">
        <v>315</v>
      </c>
      <c r="E63" s="17">
        <v>2</v>
      </c>
      <c r="F63" s="17">
        <v>3</v>
      </c>
      <c r="G63" s="18">
        <v>9</v>
      </c>
      <c r="H63" s="17">
        <v>90</v>
      </c>
    </row>
    <row r="64" spans="2:8" ht="12" x14ac:dyDescent="0.2">
      <c r="B64" s="107"/>
      <c r="C64" s="15" t="s">
        <v>316</v>
      </c>
      <c r="D64" s="12" t="s">
        <v>317</v>
      </c>
      <c r="E64" s="13">
        <v>1</v>
      </c>
      <c r="F64" s="13">
        <v>3</v>
      </c>
      <c r="G64" s="63">
        <v>9</v>
      </c>
      <c r="H64" s="17">
        <v>90</v>
      </c>
    </row>
    <row r="65" spans="2:8" ht="12" x14ac:dyDescent="0.2">
      <c r="B65" s="107"/>
      <c r="C65" s="12" t="s">
        <v>64</v>
      </c>
      <c r="D65" s="12" t="s">
        <v>318</v>
      </c>
      <c r="E65" s="13">
        <v>4</v>
      </c>
      <c r="F65" s="13">
        <v>4</v>
      </c>
      <c r="G65" s="63" t="s">
        <v>21</v>
      </c>
      <c r="H65" s="17">
        <v>90</v>
      </c>
    </row>
    <row r="66" spans="2:8" ht="12" x14ac:dyDescent="0.2">
      <c r="B66" s="107"/>
      <c r="C66" s="13" t="s">
        <v>319</v>
      </c>
      <c r="D66" s="13" t="s">
        <v>320</v>
      </c>
      <c r="E66" s="13">
        <v>12</v>
      </c>
      <c r="F66" s="13">
        <v>6</v>
      </c>
      <c r="G66" s="81">
        <v>20</v>
      </c>
      <c r="H66" s="15">
        <v>383</v>
      </c>
    </row>
    <row r="67" spans="2:8" ht="12" x14ac:dyDescent="0.2">
      <c r="B67" s="107"/>
      <c r="C67" s="13" t="s">
        <v>65</v>
      </c>
      <c r="D67" s="13" t="s">
        <v>66</v>
      </c>
      <c r="E67" s="13">
        <v>6</v>
      </c>
      <c r="F67" s="13">
        <v>2</v>
      </c>
      <c r="G67" s="81">
        <v>18</v>
      </c>
      <c r="H67" s="15">
        <v>124</v>
      </c>
    </row>
    <row r="68" spans="2:8" ht="12" x14ac:dyDescent="0.2">
      <c r="B68" s="108" t="s">
        <v>20</v>
      </c>
      <c r="C68" s="108"/>
      <c r="D68" s="108"/>
      <c r="E68" s="55">
        <f>SUM(E56:E67)</f>
        <v>69</v>
      </c>
      <c r="F68" s="55">
        <f>SUM(F56:F67)</f>
        <v>67</v>
      </c>
      <c r="G68" s="55">
        <f>SUM(G56:G67)</f>
        <v>143</v>
      </c>
      <c r="H68" s="14">
        <f>SUM(H56:H67)</f>
        <v>2930</v>
      </c>
    </row>
    <row r="69" spans="2:8" ht="12" x14ac:dyDescent="0.2">
      <c r="B69" s="107" t="s">
        <v>374</v>
      </c>
      <c r="C69" s="12" t="s">
        <v>321</v>
      </c>
      <c r="D69" s="12" t="s">
        <v>322</v>
      </c>
      <c r="E69" s="12">
        <v>8</v>
      </c>
      <c r="F69" s="12">
        <v>8</v>
      </c>
      <c r="G69" s="12">
        <v>9</v>
      </c>
      <c r="H69" s="12">
        <v>237</v>
      </c>
    </row>
    <row r="70" spans="2:8" ht="12" x14ac:dyDescent="0.2">
      <c r="B70" s="107"/>
      <c r="C70" s="12" t="s">
        <v>324</v>
      </c>
      <c r="D70" s="12" t="s">
        <v>325</v>
      </c>
      <c r="E70" s="12">
        <v>9</v>
      </c>
      <c r="F70" s="12">
        <v>9</v>
      </c>
      <c r="G70" s="12" t="s">
        <v>323</v>
      </c>
      <c r="H70" s="12">
        <v>232</v>
      </c>
    </row>
    <row r="71" spans="2:8" ht="12" x14ac:dyDescent="0.2">
      <c r="B71" s="107"/>
      <c r="C71" s="12" t="s">
        <v>326</v>
      </c>
      <c r="D71" s="12" t="s">
        <v>327</v>
      </c>
      <c r="E71" s="12">
        <v>11</v>
      </c>
      <c r="F71" s="12">
        <v>11</v>
      </c>
      <c r="G71" s="12" t="s">
        <v>323</v>
      </c>
      <c r="H71" s="12">
        <v>274</v>
      </c>
    </row>
    <row r="72" spans="2:8" ht="12" x14ac:dyDescent="0.2">
      <c r="B72" s="107"/>
      <c r="C72" s="12" t="s">
        <v>67</v>
      </c>
      <c r="D72" s="12" t="s">
        <v>328</v>
      </c>
      <c r="E72" s="12">
        <v>38</v>
      </c>
      <c r="F72" s="12">
        <v>19</v>
      </c>
      <c r="G72" s="12">
        <v>18</v>
      </c>
      <c r="H72" s="12">
        <v>854</v>
      </c>
    </row>
    <row r="73" spans="2:8" ht="12" x14ac:dyDescent="0.2">
      <c r="B73" s="107"/>
      <c r="C73" s="12" t="s">
        <v>68</v>
      </c>
      <c r="D73" s="12" t="s">
        <v>329</v>
      </c>
      <c r="E73" s="12">
        <v>3</v>
      </c>
      <c r="F73" s="12">
        <v>3</v>
      </c>
      <c r="G73" s="12" t="s">
        <v>21</v>
      </c>
      <c r="H73" s="12">
        <v>72</v>
      </c>
    </row>
    <row r="74" spans="2:8" ht="12" x14ac:dyDescent="0.2">
      <c r="B74" s="107"/>
      <c r="C74" s="12" t="s">
        <v>178</v>
      </c>
      <c r="D74" s="12" t="s">
        <v>330</v>
      </c>
      <c r="E74" s="13">
        <v>5</v>
      </c>
      <c r="F74" s="13">
        <v>6</v>
      </c>
      <c r="G74" s="63" t="s">
        <v>57</v>
      </c>
      <c r="H74" s="13">
        <v>282</v>
      </c>
    </row>
    <row r="75" spans="2:8" ht="12" x14ac:dyDescent="0.2">
      <c r="B75" s="107"/>
      <c r="C75" s="13" t="s">
        <v>499</v>
      </c>
      <c r="D75" s="13" t="s">
        <v>500</v>
      </c>
      <c r="E75" s="13">
        <v>2</v>
      </c>
      <c r="F75" s="13">
        <v>1</v>
      </c>
      <c r="G75" s="63">
        <v>15</v>
      </c>
      <c r="H75" s="13">
        <v>55</v>
      </c>
    </row>
    <row r="76" spans="2:8" ht="12" x14ac:dyDescent="0.2">
      <c r="B76" s="107"/>
      <c r="C76" s="76" t="s">
        <v>331</v>
      </c>
      <c r="D76" s="13" t="s">
        <v>332</v>
      </c>
      <c r="E76" s="13">
        <v>2</v>
      </c>
      <c r="F76" s="13">
        <v>1</v>
      </c>
      <c r="G76" s="63">
        <v>13</v>
      </c>
      <c r="H76" s="13">
        <v>45</v>
      </c>
    </row>
    <row r="77" spans="2:8" ht="12" x14ac:dyDescent="0.2">
      <c r="B77" s="107"/>
      <c r="C77" s="76" t="s">
        <v>333</v>
      </c>
      <c r="D77" s="13" t="s">
        <v>334</v>
      </c>
      <c r="E77" s="13">
        <v>2</v>
      </c>
      <c r="F77" s="13">
        <v>1</v>
      </c>
      <c r="G77" s="63">
        <v>13</v>
      </c>
      <c r="H77" s="13">
        <v>55</v>
      </c>
    </row>
    <row r="78" spans="2:8" ht="12" x14ac:dyDescent="0.2">
      <c r="B78" s="107"/>
      <c r="C78" s="12" t="s">
        <v>335</v>
      </c>
      <c r="D78" s="76" t="s">
        <v>336</v>
      </c>
      <c r="E78" s="76">
        <v>2</v>
      </c>
      <c r="F78" s="12">
        <v>1</v>
      </c>
      <c r="G78" s="12">
        <v>15</v>
      </c>
      <c r="H78" s="12">
        <v>47</v>
      </c>
    </row>
    <row r="79" spans="2:8" ht="12" x14ac:dyDescent="0.2">
      <c r="B79" s="107"/>
      <c r="C79" s="13" t="s">
        <v>17</v>
      </c>
      <c r="D79" s="13" t="s">
        <v>232</v>
      </c>
      <c r="E79" s="13">
        <v>6</v>
      </c>
      <c r="F79" s="13">
        <v>2</v>
      </c>
      <c r="G79" s="63" t="s">
        <v>233</v>
      </c>
      <c r="H79" s="13">
        <v>205</v>
      </c>
    </row>
    <row r="80" spans="2:8" ht="12" x14ac:dyDescent="0.2">
      <c r="B80" s="108" t="s">
        <v>20</v>
      </c>
      <c r="C80" s="108"/>
      <c r="D80" s="108"/>
      <c r="E80" s="55">
        <f>SUM(E69:E79)</f>
        <v>88</v>
      </c>
      <c r="F80" s="55">
        <f>SUM(F69:F79)</f>
        <v>62</v>
      </c>
      <c r="G80" s="55">
        <f>SUM(G69:G79)</f>
        <v>83</v>
      </c>
      <c r="H80" s="14">
        <f>SUM(H69:H79)</f>
        <v>2358</v>
      </c>
    </row>
    <row r="81" spans="2:8" ht="12" x14ac:dyDescent="0.2">
      <c r="B81" s="122" t="s">
        <v>465</v>
      </c>
      <c r="C81" s="12" t="s">
        <v>524</v>
      </c>
      <c r="D81" s="19" t="s">
        <v>433</v>
      </c>
      <c r="E81" s="19">
        <v>7</v>
      </c>
      <c r="F81" s="19">
        <v>6</v>
      </c>
      <c r="G81" s="25" t="s">
        <v>390</v>
      </c>
      <c r="H81" s="19">
        <v>261</v>
      </c>
    </row>
    <row r="82" spans="2:8" ht="15" customHeight="1" x14ac:dyDescent="0.2">
      <c r="B82" s="123"/>
      <c r="C82" s="12" t="s">
        <v>525</v>
      </c>
      <c r="D82" s="21" t="s">
        <v>376</v>
      </c>
      <c r="E82" s="19">
        <v>9</v>
      </c>
      <c r="F82" s="19">
        <v>5</v>
      </c>
      <c r="G82" s="25" t="s">
        <v>390</v>
      </c>
      <c r="H82" s="19">
        <v>488</v>
      </c>
    </row>
    <row r="83" spans="2:8" ht="15" customHeight="1" x14ac:dyDescent="0.2">
      <c r="B83" s="123"/>
      <c r="C83" s="12" t="s">
        <v>526</v>
      </c>
      <c r="D83" s="21" t="s">
        <v>486</v>
      </c>
      <c r="E83" s="19">
        <v>7</v>
      </c>
      <c r="F83" s="19">
        <v>7</v>
      </c>
      <c r="G83" s="25" t="s">
        <v>390</v>
      </c>
      <c r="H83" s="19">
        <v>525</v>
      </c>
    </row>
    <row r="84" spans="2:8" ht="15" customHeight="1" x14ac:dyDescent="0.2">
      <c r="B84" s="123"/>
      <c r="C84" s="12" t="s">
        <v>494</v>
      </c>
      <c r="D84" s="21" t="s">
        <v>485</v>
      </c>
      <c r="E84" s="19">
        <v>10</v>
      </c>
      <c r="F84" s="82">
        <v>5</v>
      </c>
      <c r="G84" s="25" t="s">
        <v>19</v>
      </c>
      <c r="H84" s="19">
        <v>391</v>
      </c>
    </row>
    <row r="85" spans="2:8" ht="15" customHeight="1" x14ac:dyDescent="0.2">
      <c r="B85" s="123"/>
      <c r="C85" s="12" t="s">
        <v>495</v>
      </c>
      <c r="D85" s="21" t="s">
        <v>490</v>
      </c>
      <c r="E85" s="19">
        <v>6</v>
      </c>
      <c r="F85" s="82">
        <v>7</v>
      </c>
      <c r="G85" s="25" t="s">
        <v>21</v>
      </c>
      <c r="H85" s="19">
        <v>353</v>
      </c>
    </row>
    <row r="86" spans="2:8" ht="15" customHeight="1" x14ac:dyDescent="0.2">
      <c r="B86" s="123"/>
      <c r="C86" s="12" t="s">
        <v>391</v>
      </c>
      <c r="D86" s="21" t="s">
        <v>392</v>
      </c>
      <c r="E86" s="19">
        <v>14</v>
      </c>
      <c r="F86" s="19">
        <v>8</v>
      </c>
      <c r="G86" s="25" t="s">
        <v>19</v>
      </c>
      <c r="H86" s="19">
        <v>494</v>
      </c>
    </row>
    <row r="87" spans="2:8" ht="15" customHeight="1" x14ac:dyDescent="0.2">
      <c r="B87" s="123"/>
      <c r="C87" s="12" t="s">
        <v>496</v>
      </c>
      <c r="D87" s="19" t="s">
        <v>497</v>
      </c>
      <c r="E87" s="19">
        <v>4</v>
      </c>
      <c r="F87" s="19">
        <v>2</v>
      </c>
      <c r="G87" s="25" t="s">
        <v>63</v>
      </c>
      <c r="H87" s="19">
        <v>138</v>
      </c>
    </row>
    <row r="88" spans="2:8" ht="15" customHeight="1" x14ac:dyDescent="0.2">
      <c r="B88" s="123"/>
      <c r="C88" s="12" t="s">
        <v>453</v>
      </c>
      <c r="D88" s="19" t="s">
        <v>454</v>
      </c>
      <c r="E88" s="19">
        <v>4</v>
      </c>
      <c r="F88" s="19">
        <v>2</v>
      </c>
      <c r="G88" s="25" t="s">
        <v>63</v>
      </c>
      <c r="H88" s="19">
        <v>138</v>
      </c>
    </row>
    <row r="89" spans="2:8" ht="15" customHeight="1" x14ac:dyDescent="0.2">
      <c r="B89" s="123"/>
      <c r="C89" s="12" t="s">
        <v>553</v>
      </c>
      <c r="D89" s="19" t="s">
        <v>554</v>
      </c>
      <c r="E89" s="19">
        <v>10</v>
      </c>
      <c r="F89" s="19">
        <v>5</v>
      </c>
      <c r="G89" s="25" t="s">
        <v>63</v>
      </c>
      <c r="H89" s="19">
        <v>413</v>
      </c>
    </row>
    <row r="90" spans="2:8" ht="15" customHeight="1" x14ac:dyDescent="0.2">
      <c r="B90" s="123"/>
      <c r="C90" s="12" t="s">
        <v>481</v>
      </c>
      <c r="D90" s="19" t="s">
        <v>482</v>
      </c>
      <c r="E90" s="19">
        <v>6</v>
      </c>
      <c r="F90" s="19">
        <v>6</v>
      </c>
      <c r="G90" s="25" t="s">
        <v>463</v>
      </c>
      <c r="H90" s="19">
        <v>312</v>
      </c>
    </row>
    <row r="91" spans="2:8" ht="15" customHeight="1" x14ac:dyDescent="0.2">
      <c r="B91" s="123"/>
      <c r="C91" s="12" t="s">
        <v>483</v>
      </c>
      <c r="D91" s="19" t="s">
        <v>484</v>
      </c>
      <c r="E91" s="19">
        <v>5</v>
      </c>
      <c r="F91" s="19">
        <v>2</v>
      </c>
      <c r="G91" s="25" t="s">
        <v>21</v>
      </c>
      <c r="H91" s="19">
        <v>181</v>
      </c>
    </row>
    <row r="92" spans="2:8" ht="15" customHeight="1" x14ac:dyDescent="0.2">
      <c r="B92" s="123"/>
      <c r="C92" s="12" t="s">
        <v>501</v>
      </c>
      <c r="D92" s="19" t="s">
        <v>503</v>
      </c>
      <c r="E92" s="19">
        <v>8</v>
      </c>
      <c r="F92" s="19">
        <v>2</v>
      </c>
      <c r="G92" s="25" t="s">
        <v>21</v>
      </c>
      <c r="H92" s="19">
        <v>237</v>
      </c>
    </row>
    <row r="93" spans="2:8" ht="15" customHeight="1" x14ac:dyDescent="0.2">
      <c r="B93" s="123"/>
      <c r="C93" s="12" t="s">
        <v>427</v>
      </c>
      <c r="D93" s="21" t="s">
        <v>410</v>
      </c>
      <c r="E93" s="19">
        <v>4</v>
      </c>
      <c r="F93" s="19">
        <v>2</v>
      </c>
      <c r="G93" s="25" t="s">
        <v>19</v>
      </c>
      <c r="H93" s="19">
        <v>300</v>
      </c>
    </row>
    <row r="94" spans="2:8" ht="15" customHeight="1" x14ac:dyDescent="0.2">
      <c r="B94" s="123"/>
      <c r="C94" s="12" t="s">
        <v>428</v>
      </c>
      <c r="D94" s="21" t="s">
        <v>429</v>
      </c>
      <c r="E94" s="19">
        <v>5</v>
      </c>
      <c r="F94" s="19">
        <v>3</v>
      </c>
      <c r="G94" s="25" t="s">
        <v>19</v>
      </c>
      <c r="H94" s="19">
        <v>300</v>
      </c>
    </row>
    <row r="95" spans="2:8" ht="15" customHeight="1" x14ac:dyDescent="0.2">
      <c r="B95" s="123"/>
      <c r="C95" s="12" t="s">
        <v>527</v>
      </c>
      <c r="D95" s="19" t="s">
        <v>449</v>
      </c>
      <c r="E95" s="19">
        <v>4</v>
      </c>
      <c r="F95" s="19">
        <v>4</v>
      </c>
      <c r="G95" s="25" t="s">
        <v>21</v>
      </c>
      <c r="H95" s="19">
        <v>127</v>
      </c>
    </row>
    <row r="96" spans="2:8" ht="15" customHeight="1" x14ac:dyDescent="0.2">
      <c r="B96" s="124"/>
      <c r="C96" s="12" t="s">
        <v>528</v>
      </c>
      <c r="D96" s="19" t="s">
        <v>478</v>
      </c>
      <c r="E96" s="19">
        <v>2</v>
      </c>
      <c r="F96" s="19">
        <v>2</v>
      </c>
      <c r="G96" s="25" t="s">
        <v>21</v>
      </c>
      <c r="H96" s="19">
        <v>127</v>
      </c>
    </row>
    <row r="97" spans="2:8" ht="12" x14ac:dyDescent="0.2">
      <c r="B97" s="119" t="s">
        <v>20</v>
      </c>
      <c r="C97" s="120"/>
      <c r="D97" s="121"/>
      <c r="E97" s="80">
        <f>SUM(E81:E96)</f>
        <v>105</v>
      </c>
      <c r="F97" s="80">
        <f>SUM(F81:F94)</f>
        <v>62</v>
      </c>
      <c r="G97" s="22" t="s">
        <v>366</v>
      </c>
      <c r="H97" s="14">
        <f>SUM(H81:H94)</f>
        <v>4531</v>
      </c>
    </row>
    <row r="98" spans="2:8" ht="12" x14ac:dyDescent="0.2">
      <c r="B98" s="107" t="s">
        <v>101</v>
      </c>
      <c r="C98" s="12" t="s">
        <v>337</v>
      </c>
      <c r="D98" s="16" t="s">
        <v>338</v>
      </c>
      <c r="E98" s="17">
        <v>13</v>
      </c>
      <c r="F98" s="17">
        <v>13</v>
      </c>
      <c r="G98" s="18">
        <v>9</v>
      </c>
      <c r="H98" s="17">
        <v>265</v>
      </c>
    </row>
    <row r="99" spans="2:8" ht="12" x14ac:dyDescent="0.2">
      <c r="B99" s="107"/>
      <c r="C99" s="12" t="s">
        <v>69</v>
      </c>
      <c r="D99" s="15" t="s">
        <v>339</v>
      </c>
      <c r="E99" s="15">
        <v>18</v>
      </c>
      <c r="F99" s="19">
        <v>23</v>
      </c>
      <c r="G99" s="20" t="s">
        <v>70</v>
      </c>
      <c r="H99" s="21">
        <v>267</v>
      </c>
    </row>
    <row r="100" spans="2:8" ht="12" x14ac:dyDescent="0.2">
      <c r="B100" s="107"/>
      <c r="C100" s="12" t="s">
        <v>71</v>
      </c>
      <c r="D100" s="16" t="s">
        <v>72</v>
      </c>
      <c r="E100" s="17">
        <v>22</v>
      </c>
      <c r="F100" s="17">
        <v>22</v>
      </c>
      <c r="G100" s="18">
        <v>8</v>
      </c>
      <c r="H100" s="17">
        <v>340</v>
      </c>
    </row>
    <row r="101" spans="2:8" ht="12" x14ac:dyDescent="0.2">
      <c r="B101" s="107"/>
      <c r="C101" s="12" t="s">
        <v>73</v>
      </c>
      <c r="D101" s="16" t="s">
        <v>340</v>
      </c>
      <c r="E101" s="17">
        <v>28</v>
      </c>
      <c r="F101" s="17">
        <v>31</v>
      </c>
      <c r="G101" s="18" t="s">
        <v>74</v>
      </c>
      <c r="H101" s="17">
        <v>675</v>
      </c>
    </row>
    <row r="102" spans="2:8" ht="12" x14ac:dyDescent="0.2">
      <c r="B102" s="107"/>
      <c r="C102" s="12" t="s">
        <v>411</v>
      </c>
      <c r="D102" s="16" t="s">
        <v>412</v>
      </c>
      <c r="E102" s="17">
        <v>6</v>
      </c>
      <c r="F102" s="17">
        <v>4</v>
      </c>
      <c r="G102" s="18" t="s">
        <v>413</v>
      </c>
      <c r="H102" s="17">
        <v>62</v>
      </c>
    </row>
    <row r="103" spans="2:8" ht="12" x14ac:dyDescent="0.2">
      <c r="B103" s="107"/>
      <c r="C103" s="12" t="s">
        <v>75</v>
      </c>
      <c r="D103" s="16" t="s">
        <v>341</v>
      </c>
      <c r="E103" s="17">
        <v>23</v>
      </c>
      <c r="F103" s="17">
        <v>12</v>
      </c>
      <c r="G103" s="18" t="s">
        <v>342</v>
      </c>
      <c r="H103" s="17">
        <v>516</v>
      </c>
    </row>
    <row r="104" spans="2:8" ht="12" x14ac:dyDescent="0.2">
      <c r="B104" s="108" t="s">
        <v>20</v>
      </c>
      <c r="C104" s="108"/>
      <c r="D104" s="108"/>
      <c r="E104" s="55">
        <f>SUM(E98:E103)</f>
        <v>110</v>
      </c>
      <c r="F104" s="55">
        <f>SUM(F98:F103)</f>
        <v>105</v>
      </c>
      <c r="G104" s="55">
        <f>SUM(G98:G103)</f>
        <v>17</v>
      </c>
      <c r="H104" s="14">
        <f>SUM(H98:H103)</f>
        <v>2125</v>
      </c>
    </row>
    <row r="105" spans="2:8" ht="12" x14ac:dyDescent="0.2">
      <c r="B105" s="107" t="s">
        <v>102</v>
      </c>
      <c r="C105" s="12" t="s">
        <v>76</v>
      </c>
      <c r="D105" s="16" t="s">
        <v>343</v>
      </c>
      <c r="E105" s="17">
        <v>46</v>
      </c>
      <c r="F105" s="17">
        <v>23</v>
      </c>
      <c r="G105" s="18" t="s">
        <v>50</v>
      </c>
      <c r="H105" s="17">
        <v>635</v>
      </c>
    </row>
    <row r="106" spans="2:8" ht="12" x14ac:dyDescent="0.2">
      <c r="B106" s="107"/>
      <c r="C106" s="12" t="s">
        <v>77</v>
      </c>
      <c r="D106" s="16" t="s">
        <v>344</v>
      </c>
      <c r="E106" s="17">
        <v>8</v>
      </c>
      <c r="F106" s="17">
        <v>8</v>
      </c>
      <c r="G106" s="18">
        <v>10</v>
      </c>
      <c r="H106" s="17">
        <v>150</v>
      </c>
    </row>
    <row r="107" spans="2:8" ht="12" x14ac:dyDescent="0.2">
      <c r="B107" s="107"/>
      <c r="C107" s="12" t="s">
        <v>5</v>
      </c>
      <c r="D107" s="16" t="s">
        <v>345</v>
      </c>
      <c r="E107" s="17">
        <v>8</v>
      </c>
      <c r="F107" s="17">
        <v>8</v>
      </c>
      <c r="G107" s="18">
        <v>10</v>
      </c>
      <c r="H107" s="17">
        <v>142</v>
      </c>
    </row>
    <row r="108" spans="2:8" ht="12" x14ac:dyDescent="0.2">
      <c r="B108" s="107"/>
      <c r="C108" s="12" t="s">
        <v>78</v>
      </c>
      <c r="D108" s="16" t="s">
        <v>346</v>
      </c>
      <c r="E108" s="17">
        <v>7</v>
      </c>
      <c r="F108" s="17">
        <v>7</v>
      </c>
      <c r="G108" s="18">
        <v>10</v>
      </c>
      <c r="H108" s="17">
        <v>165</v>
      </c>
    </row>
    <row r="109" spans="2:8" ht="12" x14ac:dyDescent="0.2">
      <c r="B109" s="107"/>
      <c r="C109" s="12" t="s">
        <v>79</v>
      </c>
      <c r="D109" s="16" t="s">
        <v>347</v>
      </c>
      <c r="E109" s="17">
        <v>9</v>
      </c>
      <c r="F109" s="17">
        <v>9</v>
      </c>
      <c r="G109" s="18">
        <v>9</v>
      </c>
      <c r="H109" s="17">
        <v>217</v>
      </c>
    </row>
    <row r="110" spans="2:8" ht="12" x14ac:dyDescent="0.2">
      <c r="B110" s="107"/>
      <c r="C110" s="12" t="s">
        <v>80</v>
      </c>
      <c r="D110" s="16" t="s">
        <v>348</v>
      </c>
      <c r="E110" s="17">
        <v>9</v>
      </c>
      <c r="F110" s="17">
        <v>9</v>
      </c>
      <c r="G110" s="18">
        <v>9</v>
      </c>
      <c r="H110" s="17">
        <v>192</v>
      </c>
    </row>
    <row r="111" spans="2:8" ht="12" x14ac:dyDescent="0.2">
      <c r="B111" s="107"/>
      <c r="C111" s="12" t="s">
        <v>81</v>
      </c>
      <c r="D111" s="16" t="s">
        <v>349</v>
      </c>
      <c r="E111" s="17">
        <v>12</v>
      </c>
      <c r="F111" s="17">
        <v>12</v>
      </c>
      <c r="G111" s="18">
        <v>9</v>
      </c>
      <c r="H111" s="17">
        <v>149</v>
      </c>
    </row>
    <row r="112" spans="2:8" ht="12" x14ac:dyDescent="0.2">
      <c r="B112" s="119" t="s">
        <v>20</v>
      </c>
      <c r="C112" s="120"/>
      <c r="D112" s="121"/>
      <c r="E112" s="55">
        <f>SUM(E105:E111)</f>
        <v>99</v>
      </c>
      <c r="F112" s="55">
        <f t="shared" ref="F112:H112" si="0">SUM(F105:F111)</f>
        <v>76</v>
      </c>
      <c r="G112" s="55">
        <f t="shared" si="0"/>
        <v>57</v>
      </c>
      <c r="H112" s="14">
        <f t="shared" si="0"/>
        <v>1650</v>
      </c>
    </row>
    <row r="113" spans="2:8" ht="12" x14ac:dyDescent="0.2">
      <c r="B113" s="107" t="s">
        <v>371</v>
      </c>
      <c r="C113" s="12" t="s">
        <v>30</v>
      </c>
      <c r="D113" s="16" t="s">
        <v>252</v>
      </c>
      <c r="E113" s="17">
        <v>4</v>
      </c>
      <c r="F113" s="17">
        <v>6</v>
      </c>
      <c r="G113" s="18">
        <v>11</v>
      </c>
      <c r="H113" s="17">
        <v>195</v>
      </c>
    </row>
    <row r="114" spans="2:8" ht="12" x14ac:dyDescent="0.2">
      <c r="B114" s="107"/>
      <c r="C114" s="12" t="s">
        <v>34</v>
      </c>
      <c r="D114" s="16" t="s">
        <v>257</v>
      </c>
      <c r="E114" s="17">
        <v>3</v>
      </c>
      <c r="F114" s="17">
        <v>4</v>
      </c>
      <c r="G114" s="18" t="s">
        <v>19</v>
      </c>
      <c r="H114" s="17">
        <v>62</v>
      </c>
    </row>
    <row r="115" spans="2:8" ht="15" customHeight="1" x14ac:dyDescent="0.2">
      <c r="B115" s="107"/>
      <c r="C115" s="12" t="s">
        <v>31</v>
      </c>
      <c r="D115" s="16" t="s">
        <v>253</v>
      </c>
      <c r="E115" s="17">
        <v>16</v>
      </c>
      <c r="F115" s="17">
        <v>14</v>
      </c>
      <c r="G115" s="18" t="s">
        <v>254</v>
      </c>
      <c r="H115" s="17">
        <v>491</v>
      </c>
    </row>
    <row r="116" spans="2:8" ht="12" x14ac:dyDescent="0.2">
      <c r="B116" s="107"/>
      <c r="C116" s="12" t="s">
        <v>32</v>
      </c>
      <c r="D116" s="16" t="s">
        <v>255</v>
      </c>
      <c r="E116" s="17">
        <v>6</v>
      </c>
      <c r="F116" s="17">
        <v>3</v>
      </c>
      <c r="G116" s="18" t="s">
        <v>225</v>
      </c>
      <c r="H116" s="17">
        <v>132</v>
      </c>
    </row>
    <row r="117" spans="2:8" ht="12" x14ac:dyDescent="0.2">
      <c r="B117" s="107"/>
      <c r="C117" s="12" t="s">
        <v>260</v>
      </c>
      <c r="D117" s="19" t="s">
        <v>261</v>
      </c>
      <c r="E117" s="17">
        <v>3</v>
      </c>
      <c r="F117" s="17">
        <v>1</v>
      </c>
      <c r="G117" s="18" t="s">
        <v>13</v>
      </c>
      <c r="H117" s="17">
        <v>109</v>
      </c>
    </row>
    <row r="118" spans="2:8" ht="12" x14ac:dyDescent="0.2">
      <c r="B118" s="107"/>
      <c r="C118" s="12" t="s">
        <v>262</v>
      </c>
      <c r="D118" s="19" t="s">
        <v>263</v>
      </c>
      <c r="E118" s="17">
        <v>3</v>
      </c>
      <c r="F118" s="17">
        <v>1</v>
      </c>
      <c r="G118" s="18" t="s">
        <v>13</v>
      </c>
      <c r="H118" s="17">
        <v>138</v>
      </c>
    </row>
    <row r="119" spans="2:8" ht="12" x14ac:dyDescent="0.2">
      <c r="B119" s="107"/>
      <c r="C119" s="12" t="s">
        <v>264</v>
      </c>
      <c r="D119" s="19" t="s">
        <v>265</v>
      </c>
      <c r="E119" s="17">
        <v>3</v>
      </c>
      <c r="F119" s="17">
        <v>1</v>
      </c>
      <c r="G119" s="18" t="s">
        <v>13</v>
      </c>
      <c r="H119" s="17">
        <v>106</v>
      </c>
    </row>
    <row r="120" spans="2:8" ht="24" x14ac:dyDescent="0.2">
      <c r="B120" s="107"/>
      <c r="C120" s="12" t="s">
        <v>266</v>
      </c>
      <c r="D120" s="19" t="s">
        <v>267</v>
      </c>
      <c r="E120" s="17">
        <v>3</v>
      </c>
      <c r="F120" s="17">
        <v>1</v>
      </c>
      <c r="G120" s="18" t="s">
        <v>13</v>
      </c>
      <c r="H120" s="17">
        <v>106</v>
      </c>
    </row>
    <row r="121" spans="2:8" ht="12" x14ac:dyDescent="0.2">
      <c r="B121" s="107"/>
      <c r="C121" s="12" t="s">
        <v>487</v>
      </c>
      <c r="D121" s="19" t="s">
        <v>488</v>
      </c>
      <c r="E121" s="17">
        <v>3</v>
      </c>
      <c r="F121" s="17">
        <v>1</v>
      </c>
      <c r="G121" s="18" t="s">
        <v>489</v>
      </c>
      <c r="H121" s="17">
        <v>48</v>
      </c>
    </row>
    <row r="122" spans="2:8" ht="12" x14ac:dyDescent="0.2">
      <c r="B122" s="107"/>
      <c r="C122" s="12" t="s">
        <v>37</v>
      </c>
      <c r="D122" s="17" t="s">
        <v>268</v>
      </c>
      <c r="E122" s="17">
        <v>4</v>
      </c>
      <c r="F122" s="17">
        <v>4</v>
      </c>
      <c r="G122" s="18" t="s">
        <v>187</v>
      </c>
      <c r="H122" s="17">
        <v>302</v>
      </c>
    </row>
    <row r="123" spans="2:8" ht="12" x14ac:dyDescent="0.2">
      <c r="B123" s="107"/>
      <c r="C123" s="12" t="s">
        <v>38</v>
      </c>
      <c r="D123" s="16" t="s">
        <v>269</v>
      </c>
      <c r="E123" s="17">
        <v>5</v>
      </c>
      <c r="F123" s="17">
        <v>3</v>
      </c>
      <c r="G123" s="18" t="s">
        <v>41</v>
      </c>
      <c r="H123" s="17">
        <v>90</v>
      </c>
    </row>
    <row r="124" spans="2:8" ht="12" x14ac:dyDescent="0.2">
      <c r="B124" s="107"/>
      <c r="C124" s="12" t="s">
        <v>39</v>
      </c>
      <c r="D124" s="15" t="s">
        <v>270</v>
      </c>
      <c r="E124" s="17">
        <v>3</v>
      </c>
      <c r="F124" s="17">
        <v>4</v>
      </c>
      <c r="G124" s="18" t="s">
        <v>63</v>
      </c>
      <c r="H124" s="17">
        <v>161</v>
      </c>
    </row>
    <row r="125" spans="2:8" ht="12" x14ac:dyDescent="0.2">
      <c r="B125" s="107"/>
      <c r="C125" s="12" t="s">
        <v>35</v>
      </c>
      <c r="D125" s="16" t="s">
        <v>258</v>
      </c>
      <c r="E125" s="17">
        <v>8</v>
      </c>
      <c r="F125" s="17">
        <v>8</v>
      </c>
      <c r="G125" s="18" t="s">
        <v>259</v>
      </c>
      <c r="H125" s="17">
        <v>271</v>
      </c>
    </row>
    <row r="126" spans="2:8" ht="12" x14ac:dyDescent="0.2">
      <c r="B126" s="107"/>
      <c r="C126" s="13" t="s">
        <v>40</v>
      </c>
      <c r="D126" s="17" t="s">
        <v>271</v>
      </c>
      <c r="E126" s="17">
        <v>10</v>
      </c>
      <c r="F126" s="17">
        <v>5</v>
      </c>
      <c r="G126" s="18" t="s">
        <v>41</v>
      </c>
      <c r="H126" s="15">
        <v>118</v>
      </c>
    </row>
    <row r="127" spans="2:8" ht="11.25" customHeight="1" x14ac:dyDescent="0.2">
      <c r="B127" s="119" t="s">
        <v>20</v>
      </c>
      <c r="C127" s="120"/>
      <c r="D127" s="121"/>
      <c r="E127" s="64">
        <f>SUM(E113:E126)</f>
        <v>74</v>
      </c>
      <c r="F127" s="64">
        <f>SUM(F113:F126)</f>
        <v>56</v>
      </c>
      <c r="G127" s="64">
        <f>SUM(G113:G126)</f>
        <v>11</v>
      </c>
      <c r="H127" s="14">
        <f>SUM(H113:H126)</f>
        <v>2329</v>
      </c>
    </row>
    <row r="128" spans="2:8" ht="12" x14ac:dyDescent="0.2">
      <c r="B128" s="107" t="s">
        <v>549</v>
      </c>
      <c r="C128" s="12" t="s">
        <v>82</v>
      </c>
      <c r="D128" s="21" t="s">
        <v>351</v>
      </c>
      <c r="E128" s="19">
        <v>10</v>
      </c>
      <c r="F128" s="19">
        <v>5</v>
      </c>
      <c r="G128" s="25" t="s">
        <v>57</v>
      </c>
      <c r="H128" s="19">
        <v>152</v>
      </c>
    </row>
    <row r="129" spans="2:8" ht="15" customHeight="1" x14ac:dyDescent="0.2">
      <c r="B129" s="107"/>
      <c r="C129" s="12" t="s">
        <v>364</v>
      </c>
      <c r="D129" s="19" t="s">
        <v>352</v>
      </c>
      <c r="E129" s="19">
        <v>6</v>
      </c>
      <c r="F129" s="19">
        <v>6</v>
      </c>
      <c r="G129" s="25" t="s">
        <v>57</v>
      </c>
      <c r="H129" s="19">
        <v>154</v>
      </c>
    </row>
    <row r="130" spans="2:8" ht="15" customHeight="1" x14ac:dyDescent="0.2">
      <c r="B130" s="107"/>
      <c r="C130" s="12" t="s">
        <v>363</v>
      </c>
      <c r="D130" s="19" t="s">
        <v>365</v>
      </c>
      <c r="E130" s="19">
        <v>8</v>
      </c>
      <c r="F130" s="19">
        <v>8</v>
      </c>
      <c r="G130" s="25" t="s">
        <v>109</v>
      </c>
      <c r="H130" s="19">
        <v>163</v>
      </c>
    </row>
    <row r="131" spans="2:8" ht="15" customHeight="1" x14ac:dyDescent="0.2">
      <c r="B131" s="107"/>
      <c r="C131" s="12" t="s">
        <v>84</v>
      </c>
      <c r="D131" s="21" t="s">
        <v>353</v>
      </c>
      <c r="E131" s="19">
        <v>5</v>
      </c>
      <c r="F131" s="19">
        <v>5</v>
      </c>
      <c r="G131" s="25" t="s">
        <v>83</v>
      </c>
      <c r="H131" s="19">
        <v>69</v>
      </c>
    </row>
    <row r="132" spans="2:8" ht="15" customHeight="1" x14ac:dyDescent="0.2">
      <c r="B132" s="107"/>
      <c r="C132" s="12" t="s">
        <v>85</v>
      </c>
      <c r="D132" s="21" t="s">
        <v>354</v>
      </c>
      <c r="E132" s="19">
        <v>4</v>
      </c>
      <c r="F132" s="19">
        <v>4</v>
      </c>
      <c r="G132" s="25" t="s">
        <v>83</v>
      </c>
      <c r="H132" s="19">
        <v>74</v>
      </c>
    </row>
    <row r="133" spans="2:8" ht="15" customHeight="1" x14ac:dyDescent="0.2">
      <c r="B133" s="107"/>
      <c r="C133" s="12" t="s">
        <v>355</v>
      </c>
      <c r="D133" s="21" t="s">
        <v>356</v>
      </c>
      <c r="E133" s="19">
        <v>4</v>
      </c>
      <c r="F133" s="19">
        <v>4</v>
      </c>
      <c r="G133" s="25" t="s">
        <v>55</v>
      </c>
      <c r="H133" s="19">
        <v>143</v>
      </c>
    </row>
    <row r="134" spans="2:8" ht="15" customHeight="1" x14ac:dyDescent="0.2">
      <c r="B134" s="107"/>
      <c r="C134" s="12" t="s">
        <v>86</v>
      </c>
      <c r="D134" s="21" t="s">
        <v>357</v>
      </c>
      <c r="E134" s="58">
        <v>14</v>
      </c>
      <c r="F134" s="58">
        <v>7</v>
      </c>
      <c r="G134" s="59" t="s">
        <v>55</v>
      </c>
      <c r="H134" s="58">
        <v>160</v>
      </c>
    </row>
    <row r="135" spans="2:8" ht="15" customHeight="1" x14ac:dyDescent="0.2">
      <c r="B135" s="107"/>
      <c r="C135" s="12" t="s">
        <v>87</v>
      </c>
      <c r="D135" s="21" t="s">
        <v>358</v>
      </c>
      <c r="E135" s="19">
        <v>1</v>
      </c>
      <c r="F135" s="19">
        <v>1</v>
      </c>
      <c r="G135" s="25" t="s">
        <v>21</v>
      </c>
      <c r="H135" s="19">
        <v>72</v>
      </c>
    </row>
    <row r="136" spans="2:8" ht="12" x14ac:dyDescent="0.2">
      <c r="B136" s="108" t="s">
        <v>20</v>
      </c>
      <c r="C136" s="108"/>
      <c r="D136" s="108"/>
      <c r="E136" s="91">
        <f>SUM(E128:E135)</f>
        <v>52</v>
      </c>
      <c r="F136" s="91">
        <f>SUM(F128:F135)</f>
        <v>40</v>
      </c>
      <c r="G136" s="22" t="s">
        <v>88</v>
      </c>
      <c r="H136" s="14">
        <f>SUM(H128:H135)</f>
        <v>987</v>
      </c>
    </row>
    <row r="137" spans="2:8" ht="12" x14ac:dyDescent="0.2">
      <c r="B137" s="107" t="s">
        <v>551</v>
      </c>
      <c r="C137" s="12" t="s">
        <v>529</v>
      </c>
      <c r="D137" s="19" t="s">
        <v>546</v>
      </c>
      <c r="E137" s="19">
        <v>6</v>
      </c>
      <c r="F137" s="19">
        <v>5</v>
      </c>
      <c r="G137" s="25" t="s">
        <v>50</v>
      </c>
      <c r="H137" s="19">
        <v>268</v>
      </c>
    </row>
    <row r="138" spans="2:8" ht="15" customHeight="1" x14ac:dyDescent="0.2">
      <c r="B138" s="107"/>
      <c r="C138" s="12" t="s">
        <v>479</v>
      </c>
      <c r="D138" s="21" t="s">
        <v>480</v>
      </c>
      <c r="E138" s="19">
        <v>8</v>
      </c>
      <c r="F138" s="19">
        <v>4</v>
      </c>
      <c r="G138" s="25" t="s">
        <v>225</v>
      </c>
      <c r="H138" s="19">
        <v>279</v>
      </c>
    </row>
    <row r="139" spans="2:8" ht="15" customHeight="1" x14ac:dyDescent="0.2">
      <c r="B139" s="107"/>
      <c r="C139" s="12" t="s">
        <v>456</v>
      </c>
      <c r="D139" s="21" t="s">
        <v>396</v>
      </c>
      <c r="E139" s="19">
        <v>8</v>
      </c>
      <c r="F139" s="19">
        <v>8</v>
      </c>
      <c r="G139" s="25" t="s">
        <v>21</v>
      </c>
      <c r="H139" s="19">
        <v>349</v>
      </c>
    </row>
    <row r="140" spans="2:8" ht="15" customHeight="1" x14ac:dyDescent="0.2">
      <c r="B140" s="107"/>
      <c r="C140" s="12" t="s">
        <v>530</v>
      </c>
      <c r="D140" s="21" t="s">
        <v>531</v>
      </c>
      <c r="E140" s="19">
        <v>12</v>
      </c>
      <c r="F140" s="19">
        <v>7</v>
      </c>
      <c r="G140" s="25" t="s">
        <v>50</v>
      </c>
      <c r="H140" s="19">
        <v>404</v>
      </c>
    </row>
    <row r="141" spans="2:8" ht="15" customHeight="1" x14ac:dyDescent="0.2">
      <c r="B141" s="107"/>
      <c r="C141" s="12" t="s">
        <v>455</v>
      </c>
      <c r="D141" s="19" t="s">
        <v>444</v>
      </c>
      <c r="E141" s="19">
        <v>10</v>
      </c>
      <c r="F141" s="19">
        <v>6</v>
      </c>
      <c r="G141" s="25" t="s">
        <v>435</v>
      </c>
      <c r="H141" s="19">
        <v>327</v>
      </c>
    </row>
    <row r="142" spans="2:8" ht="15" customHeight="1" x14ac:dyDescent="0.2">
      <c r="B142" s="107"/>
      <c r="C142" s="12" t="s">
        <v>398</v>
      </c>
      <c r="D142" s="19" t="s">
        <v>393</v>
      </c>
      <c r="E142" s="19">
        <v>8</v>
      </c>
      <c r="F142" s="19">
        <v>4</v>
      </c>
      <c r="G142" s="25" t="s">
        <v>50</v>
      </c>
      <c r="H142" s="19">
        <v>329</v>
      </c>
    </row>
    <row r="143" spans="2:8" ht="15" customHeight="1" x14ac:dyDescent="0.2">
      <c r="B143" s="107"/>
      <c r="C143" s="12" t="s">
        <v>436</v>
      </c>
      <c r="D143" s="19" t="s">
        <v>437</v>
      </c>
      <c r="E143" s="19">
        <v>10</v>
      </c>
      <c r="F143" s="19">
        <v>5</v>
      </c>
      <c r="G143" s="25" t="s">
        <v>50</v>
      </c>
      <c r="H143" s="19">
        <v>329</v>
      </c>
    </row>
    <row r="144" spans="2:8" ht="15" customHeight="1" x14ac:dyDescent="0.2">
      <c r="B144" s="107"/>
      <c r="C144" s="12" t="s">
        <v>457</v>
      </c>
      <c r="D144" s="19" t="s">
        <v>445</v>
      </c>
      <c r="E144" s="19">
        <v>8</v>
      </c>
      <c r="F144" s="19">
        <v>6</v>
      </c>
      <c r="G144" s="25" t="s">
        <v>434</v>
      </c>
      <c r="H144" s="19">
        <v>222</v>
      </c>
    </row>
    <row r="145" spans="2:8" ht="15" customHeight="1" x14ac:dyDescent="0.2">
      <c r="B145" s="107"/>
      <c r="C145" s="12" t="s">
        <v>493</v>
      </c>
      <c r="D145" s="19" t="s">
        <v>547</v>
      </c>
      <c r="E145" s="19">
        <v>8</v>
      </c>
      <c r="F145" s="19">
        <v>6</v>
      </c>
      <c r="G145" s="25" t="s">
        <v>21</v>
      </c>
      <c r="H145" s="19">
        <v>215</v>
      </c>
    </row>
    <row r="146" spans="2:8" ht="12" x14ac:dyDescent="0.2">
      <c r="B146" s="108" t="s">
        <v>20</v>
      </c>
      <c r="C146" s="108"/>
      <c r="D146" s="108"/>
      <c r="E146" s="55">
        <f>SUM(E137:E145)</f>
        <v>78</v>
      </c>
      <c r="F146" s="91">
        <f t="shared" ref="F146:H146" si="1">SUM(F137:F145)</f>
        <v>51</v>
      </c>
      <c r="G146" s="91" t="s">
        <v>475</v>
      </c>
      <c r="H146" s="91">
        <f t="shared" si="1"/>
        <v>2722</v>
      </c>
    </row>
    <row r="147" spans="2:8" ht="11.25" customHeight="1" x14ac:dyDescent="0.2">
      <c r="B147" s="107" t="s">
        <v>104</v>
      </c>
      <c r="C147" s="12" t="s">
        <v>105</v>
      </c>
      <c r="D147" s="15" t="s">
        <v>502</v>
      </c>
      <c r="E147" s="15">
        <v>10</v>
      </c>
      <c r="F147" s="19">
        <v>10</v>
      </c>
      <c r="G147" s="21">
        <v>6</v>
      </c>
      <c r="H147" s="21">
        <v>232</v>
      </c>
    </row>
    <row r="148" spans="2:8" ht="12" x14ac:dyDescent="0.2">
      <c r="B148" s="107"/>
      <c r="C148" s="12" t="s">
        <v>106</v>
      </c>
      <c r="D148" s="16" t="s">
        <v>350</v>
      </c>
      <c r="E148" s="17">
        <v>20</v>
      </c>
      <c r="F148" s="17">
        <v>7</v>
      </c>
      <c r="G148" s="18" t="s">
        <v>108</v>
      </c>
      <c r="H148" s="17">
        <v>330</v>
      </c>
    </row>
    <row r="149" spans="2:8" ht="12" x14ac:dyDescent="0.2">
      <c r="B149" s="107"/>
      <c r="C149" s="12" t="s">
        <v>110</v>
      </c>
      <c r="D149" s="16" t="s">
        <v>107</v>
      </c>
      <c r="E149" s="17">
        <v>13</v>
      </c>
      <c r="F149" s="17">
        <v>14</v>
      </c>
      <c r="G149" s="18" t="s">
        <v>109</v>
      </c>
      <c r="H149" s="17">
        <v>489</v>
      </c>
    </row>
    <row r="150" spans="2:8" ht="12" x14ac:dyDescent="0.2">
      <c r="B150" s="108" t="s">
        <v>20</v>
      </c>
      <c r="C150" s="108"/>
      <c r="D150" s="108"/>
      <c r="E150" s="55">
        <f>SUM(E147:E149)</f>
        <v>43</v>
      </c>
      <c r="F150" s="55">
        <f>SUM(F147:F149)</f>
        <v>31</v>
      </c>
      <c r="G150" s="55">
        <f>SUM(G147:G149)</f>
        <v>6</v>
      </c>
      <c r="H150" s="14">
        <f>SUM(H147:H149)</f>
        <v>1051</v>
      </c>
    </row>
    <row r="151" spans="2:8" ht="11.25" customHeight="1" x14ac:dyDescent="0.2">
      <c r="B151" s="125" t="s">
        <v>470</v>
      </c>
      <c r="C151" s="12" t="s">
        <v>431</v>
      </c>
      <c r="D151" s="21" t="s">
        <v>432</v>
      </c>
      <c r="E151" s="19">
        <v>9</v>
      </c>
      <c r="F151" s="19">
        <v>3</v>
      </c>
      <c r="G151" s="25" t="s">
        <v>413</v>
      </c>
      <c r="H151" s="19">
        <v>168</v>
      </c>
    </row>
    <row r="152" spans="2:8" ht="15" customHeight="1" x14ac:dyDescent="0.2">
      <c r="B152" s="126"/>
      <c r="C152" s="12" t="s">
        <v>461</v>
      </c>
      <c r="D152" s="21" t="s">
        <v>462</v>
      </c>
      <c r="E152" s="19">
        <v>11</v>
      </c>
      <c r="F152" s="17">
        <v>6</v>
      </c>
      <c r="G152" s="18" t="s">
        <v>463</v>
      </c>
      <c r="H152" s="17">
        <v>168</v>
      </c>
    </row>
    <row r="153" spans="2:8" ht="15" customHeight="1" x14ac:dyDescent="0.2">
      <c r="B153" s="126"/>
      <c r="C153" s="12" t="s">
        <v>450</v>
      </c>
      <c r="D153" s="21" t="s">
        <v>430</v>
      </c>
      <c r="E153" s="19">
        <v>7</v>
      </c>
      <c r="F153" s="19">
        <v>3</v>
      </c>
      <c r="G153" s="25" t="s">
        <v>413</v>
      </c>
      <c r="H153" s="19">
        <v>198</v>
      </c>
    </row>
    <row r="154" spans="2:8" ht="15" customHeight="1" x14ac:dyDescent="0.2">
      <c r="B154" s="126"/>
      <c r="C154" s="12" t="s">
        <v>544</v>
      </c>
      <c r="D154" s="21" t="s">
        <v>545</v>
      </c>
      <c r="E154" s="19">
        <v>7</v>
      </c>
      <c r="F154" s="19">
        <v>3</v>
      </c>
      <c r="G154" s="25" t="s">
        <v>413</v>
      </c>
      <c r="H154" s="19">
        <v>191</v>
      </c>
    </row>
    <row r="155" spans="2:8" ht="15" customHeight="1" x14ac:dyDescent="0.2">
      <c r="B155" s="126"/>
      <c r="C155" s="12" t="s">
        <v>491</v>
      </c>
      <c r="D155" s="21" t="s">
        <v>492</v>
      </c>
      <c r="E155" s="19">
        <v>11</v>
      </c>
      <c r="F155" s="19">
        <v>9</v>
      </c>
      <c r="G155" s="25" t="s">
        <v>50</v>
      </c>
      <c r="H155" s="19">
        <v>834</v>
      </c>
    </row>
    <row r="156" spans="2:8" ht="15" customHeight="1" x14ac:dyDescent="0.2">
      <c r="B156" s="126"/>
      <c r="C156" s="21" t="s">
        <v>555</v>
      </c>
      <c r="D156" s="21" t="s">
        <v>556</v>
      </c>
      <c r="E156" s="19">
        <v>13</v>
      </c>
      <c r="F156" s="19">
        <v>5</v>
      </c>
      <c r="G156" s="25" t="s">
        <v>557</v>
      </c>
      <c r="H156" s="19">
        <v>305</v>
      </c>
    </row>
    <row r="157" spans="2:8" ht="15" customHeight="1" x14ac:dyDescent="0.2">
      <c r="B157" s="126"/>
      <c r="C157" s="12" t="s">
        <v>362</v>
      </c>
      <c r="D157" s="21" t="s">
        <v>367</v>
      </c>
      <c r="E157" s="19">
        <v>9</v>
      </c>
      <c r="F157" s="19">
        <v>3</v>
      </c>
      <c r="G157" s="25" t="s">
        <v>18</v>
      </c>
      <c r="H157" s="19">
        <v>289</v>
      </c>
    </row>
    <row r="158" spans="2:8" ht="15" customHeight="1" x14ac:dyDescent="0.2">
      <c r="B158" s="126"/>
      <c r="C158" s="12" t="s">
        <v>451</v>
      </c>
      <c r="D158" s="19" t="s">
        <v>452</v>
      </c>
      <c r="E158" s="19">
        <v>8</v>
      </c>
      <c r="F158" s="19">
        <v>2</v>
      </c>
      <c r="G158" s="25" t="s">
        <v>18</v>
      </c>
      <c r="H158" s="19">
        <v>220</v>
      </c>
    </row>
    <row r="159" spans="2:8" ht="15" customHeight="1" x14ac:dyDescent="0.2">
      <c r="B159" s="126"/>
      <c r="C159" s="12" t="s">
        <v>578</v>
      </c>
      <c r="D159" s="19" t="s">
        <v>579</v>
      </c>
      <c r="E159" s="19">
        <v>8</v>
      </c>
      <c r="F159" s="19">
        <v>4</v>
      </c>
      <c r="G159" s="25" t="s">
        <v>460</v>
      </c>
      <c r="H159" s="19"/>
    </row>
    <row r="160" spans="2:8" ht="15" customHeight="1" x14ac:dyDescent="0.2">
      <c r="B160" s="127"/>
      <c r="C160" s="12" t="s">
        <v>458</v>
      </c>
      <c r="D160" s="21" t="s">
        <v>459</v>
      </c>
      <c r="E160" s="19">
        <v>12</v>
      </c>
      <c r="F160" s="19">
        <v>6</v>
      </c>
      <c r="G160" s="25" t="s">
        <v>460</v>
      </c>
      <c r="H160" s="19">
        <v>246</v>
      </c>
    </row>
    <row r="161" spans="2:8" ht="12" x14ac:dyDescent="0.2">
      <c r="B161" s="108" t="s">
        <v>20</v>
      </c>
      <c r="C161" s="108"/>
      <c r="D161" s="108"/>
      <c r="E161" s="79">
        <f>SUM(E151:E160)</f>
        <v>95</v>
      </c>
      <c r="F161" s="79">
        <f>SUM(F151:F160)</f>
        <v>44</v>
      </c>
      <c r="G161" s="22" t="s">
        <v>366</v>
      </c>
      <c r="H161" s="14">
        <f>SUM(H151:H160)</f>
        <v>2619</v>
      </c>
    </row>
    <row r="162" spans="2:8" s="2" customFormat="1" ht="12" x14ac:dyDescent="0.2">
      <c r="B162" s="128" t="s">
        <v>103</v>
      </c>
      <c r="C162" s="128"/>
      <c r="D162" s="128"/>
      <c r="E162" s="30">
        <f>E161+E146+E150+E127+E112+E104+E97+E80+E68+E55+E40+E24+E13+E136</f>
        <v>1192</v>
      </c>
      <c r="F162" s="30">
        <f>F161+F146+F150+F127+F112+F104+F97+F80+F68+F55+F40+F24+F13+F136</f>
        <v>936</v>
      </c>
      <c r="G162" s="30" t="s">
        <v>475</v>
      </c>
      <c r="H162" s="30">
        <f>H161+H146+H150+H127+H112+H104+H97+H80+H68+H55+H40+H24+H13+H136</f>
        <v>38511</v>
      </c>
    </row>
    <row r="163" spans="2:8" x14ac:dyDescent="0.2">
      <c r="B163" s="1"/>
      <c r="C163" s="1"/>
      <c r="D163" s="1"/>
      <c r="E163" s="1"/>
      <c r="F163" s="1"/>
      <c r="G163" s="1"/>
      <c r="H163" s="1"/>
    </row>
    <row r="164" spans="2:8" x14ac:dyDescent="0.2">
      <c r="B164" s="1"/>
      <c r="C164" s="1"/>
      <c r="D164" s="1"/>
      <c r="E164" s="1"/>
      <c r="F164" s="1"/>
      <c r="G164" s="1"/>
      <c r="H164" s="1"/>
    </row>
    <row r="167" spans="2:8" x14ac:dyDescent="0.2">
      <c r="B167" s="1"/>
      <c r="C167" s="1"/>
      <c r="D167" s="1"/>
      <c r="E167" s="1"/>
      <c r="F167" s="1"/>
      <c r="G167" s="1"/>
      <c r="H167" s="1"/>
    </row>
    <row r="168" spans="2:8" x14ac:dyDescent="0.2">
      <c r="B168" s="1"/>
      <c r="C168" s="1"/>
      <c r="D168" s="1"/>
      <c r="E168" s="1"/>
      <c r="F168" s="1"/>
      <c r="G168" s="1"/>
      <c r="H168" s="1"/>
    </row>
    <row r="169" spans="2:8" x14ac:dyDescent="0.2">
      <c r="B169" s="1"/>
      <c r="C169" s="1"/>
      <c r="D169" s="1"/>
      <c r="E169" s="1"/>
      <c r="F169" s="1"/>
      <c r="G169" s="1"/>
      <c r="H169" s="1"/>
    </row>
    <row r="170" spans="2:8" x14ac:dyDescent="0.2">
      <c r="B170" s="1"/>
      <c r="C170" s="1"/>
      <c r="D170" s="1"/>
      <c r="E170" s="1"/>
      <c r="F170" s="1"/>
      <c r="G170" s="1"/>
      <c r="H170" s="1"/>
    </row>
  </sheetData>
  <mergeCells count="35">
    <mergeCell ref="B128:B135"/>
    <mergeCell ref="B136:D136"/>
    <mergeCell ref="B81:B96"/>
    <mergeCell ref="B151:B160"/>
    <mergeCell ref="B162:D162"/>
    <mergeCell ref="B147:B149"/>
    <mergeCell ref="B150:D150"/>
    <mergeCell ref="B161:D161"/>
    <mergeCell ref="B146:D146"/>
    <mergeCell ref="B137:B145"/>
    <mergeCell ref="B68:D68"/>
    <mergeCell ref="B113:B126"/>
    <mergeCell ref="B127:D127"/>
    <mergeCell ref="B69:B79"/>
    <mergeCell ref="B80:D80"/>
    <mergeCell ref="B98:B103"/>
    <mergeCell ref="B104:D104"/>
    <mergeCell ref="B105:B111"/>
    <mergeCell ref="B112:D112"/>
    <mergeCell ref="B97:D97"/>
    <mergeCell ref="B4:B5"/>
    <mergeCell ref="C4:C5"/>
    <mergeCell ref="D4:D5"/>
    <mergeCell ref="E4:H4"/>
    <mergeCell ref="B2:H2"/>
    <mergeCell ref="B3:H3"/>
    <mergeCell ref="B41:B54"/>
    <mergeCell ref="B55:D55"/>
    <mergeCell ref="B56:B67"/>
    <mergeCell ref="B25:B39"/>
    <mergeCell ref="B6:B12"/>
    <mergeCell ref="B13:D13"/>
    <mergeCell ref="B14:B23"/>
    <mergeCell ref="B24:D24"/>
    <mergeCell ref="B40:D40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C545D"/>
  </sheetPr>
  <dimension ref="B2:G25"/>
  <sheetViews>
    <sheetView showGridLines="0" workbookViewId="0">
      <pane xSplit="1" ySplit="5" topLeftCell="B15" activePane="bottomRight" state="frozen"/>
      <selection pane="topRight" activeCell="B1" sqref="B1"/>
      <selection pane="bottomLeft" activeCell="A7" sqref="A7"/>
      <selection pane="bottomRight" activeCell="G25" sqref="G25"/>
    </sheetView>
  </sheetViews>
  <sheetFormatPr defaultColWidth="8.85546875" defaultRowHeight="12" x14ac:dyDescent="0.2"/>
  <cols>
    <col min="1" max="1" width="2.140625" style="2" customWidth="1"/>
    <col min="2" max="2" width="15.7109375" style="23" customWidth="1"/>
    <col min="3" max="3" width="40.7109375" style="23" bestFit="1" customWidth="1"/>
    <col min="4" max="6" width="9.85546875" style="23" customWidth="1"/>
    <col min="7" max="7" width="12.85546875" style="23" customWidth="1"/>
    <col min="8" max="16384" width="8.85546875" style="2"/>
  </cols>
  <sheetData>
    <row r="2" spans="2:7" x14ac:dyDescent="0.2">
      <c r="B2" s="133" t="s">
        <v>421</v>
      </c>
      <c r="C2" s="133"/>
      <c r="D2" s="133"/>
      <c r="E2" s="133"/>
      <c r="F2" s="133"/>
      <c r="G2" s="133"/>
    </row>
    <row r="3" spans="2:7" ht="12" customHeight="1" x14ac:dyDescent="0.2">
      <c r="B3" s="134" t="s">
        <v>120</v>
      </c>
      <c r="C3" s="134"/>
      <c r="D3" s="134"/>
      <c r="E3" s="134"/>
      <c r="F3" s="134"/>
      <c r="G3" s="134"/>
    </row>
    <row r="4" spans="2:7" ht="11.25" customHeight="1" x14ac:dyDescent="0.2">
      <c r="B4" s="111" t="s">
        <v>121</v>
      </c>
      <c r="C4" s="111" t="s">
        <v>122</v>
      </c>
      <c r="D4" s="135" t="s">
        <v>8</v>
      </c>
      <c r="E4" s="135"/>
      <c r="F4" s="135"/>
      <c r="G4" s="135"/>
    </row>
    <row r="5" spans="2:7" ht="24" x14ac:dyDescent="0.2">
      <c r="B5" s="112"/>
      <c r="C5" s="112"/>
      <c r="D5" s="70" t="s">
        <v>123</v>
      </c>
      <c r="E5" s="70" t="s">
        <v>124</v>
      </c>
      <c r="F5" s="70" t="s">
        <v>100</v>
      </c>
      <c r="G5" s="70" t="s">
        <v>125</v>
      </c>
    </row>
    <row r="6" spans="2:7" ht="30" customHeight="1" x14ac:dyDescent="0.2">
      <c r="B6" s="71" t="s">
        <v>126</v>
      </c>
      <c r="C6" s="21" t="s">
        <v>127</v>
      </c>
      <c r="D6" s="19">
        <v>12</v>
      </c>
      <c r="E6" s="19">
        <v>6</v>
      </c>
      <c r="F6" s="25" t="s">
        <v>128</v>
      </c>
      <c r="G6" s="19">
        <v>60</v>
      </c>
    </row>
    <row r="7" spans="2:7" ht="11.25" customHeight="1" x14ac:dyDescent="0.2">
      <c r="B7" s="108" t="s">
        <v>20</v>
      </c>
      <c r="C7" s="108"/>
      <c r="D7" s="131">
        <f>SUM(D6:E6)</f>
        <v>18</v>
      </c>
      <c r="E7" s="132"/>
      <c r="F7" s="70">
        <v>37</v>
      </c>
      <c r="G7" s="14">
        <f>SUM(G6:G6)</f>
        <v>60</v>
      </c>
    </row>
    <row r="8" spans="2:7" ht="30.75" customHeight="1" x14ac:dyDescent="0.2">
      <c r="B8" s="83" t="s">
        <v>533</v>
      </c>
      <c r="C8" s="16" t="s">
        <v>548</v>
      </c>
      <c r="D8" s="17">
        <v>9</v>
      </c>
      <c r="E8" s="17">
        <v>3</v>
      </c>
      <c r="F8" s="18" t="s">
        <v>474</v>
      </c>
      <c r="G8" s="17">
        <v>14</v>
      </c>
    </row>
    <row r="9" spans="2:7" x14ac:dyDescent="0.2">
      <c r="B9" s="108" t="s">
        <v>20</v>
      </c>
      <c r="C9" s="108"/>
      <c r="D9" s="131">
        <f>SUM(D8:E8)</f>
        <v>12</v>
      </c>
      <c r="E9" s="132"/>
      <c r="F9" s="84">
        <v>4</v>
      </c>
      <c r="G9" s="14">
        <v>14</v>
      </c>
    </row>
    <row r="10" spans="2:7" ht="30.75" customHeight="1" x14ac:dyDescent="0.2">
      <c r="B10" s="68" t="s">
        <v>129</v>
      </c>
      <c r="C10" s="16" t="s">
        <v>130</v>
      </c>
      <c r="D10" s="17">
        <v>4</v>
      </c>
      <c r="E10" s="17">
        <v>1</v>
      </c>
      <c r="F10" s="18" t="s">
        <v>36</v>
      </c>
      <c r="G10" s="17">
        <v>12</v>
      </c>
    </row>
    <row r="11" spans="2:7" ht="11.25" customHeight="1" x14ac:dyDescent="0.2">
      <c r="B11" s="108" t="s">
        <v>20</v>
      </c>
      <c r="C11" s="108"/>
      <c r="D11" s="131">
        <f>SUM(D10:E10)</f>
        <v>5</v>
      </c>
      <c r="E11" s="132"/>
      <c r="F11" s="22" t="str">
        <f>F10</f>
        <v>19</v>
      </c>
      <c r="G11" s="14">
        <v>12</v>
      </c>
    </row>
    <row r="12" spans="2:7" ht="30" customHeight="1" x14ac:dyDescent="0.2">
      <c r="B12" s="68" t="s">
        <v>131</v>
      </c>
      <c r="C12" s="17" t="s">
        <v>132</v>
      </c>
      <c r="D12" s="17">
        <v>3</v>
      </c>
      <c r="E12" s="17">
        <v>1</v>
      </c>
      <c r="F12" s="18" t="s">
        <v>63</v>
      </c>
      <c r="G12" s="15">
        <v>13</v>
      </c>
    </row>
    <row r="13" spans="2:7" ht="11.25" customHeight="1" x14ac:dyDescent="0.2">
      <c r="B13" s="108" t="s">
        <v>20</v>
      </c>
      <c r="C13" s="108"/>
      <c r="D13" s="129">
        <f>SUM(D12:E12)</f>
        <v>4</v>
      </c>
      <c r="E13" s="130"/>
      <c r="F13" s="70">
        <v>17</v>
      </c>
      <c r="G13" s="14">
        <f>SUM(G12:G12)</f>
        <v>13</v>
      </c>
    </row>
    <row r="14" spans="2:7" ht="30" customHeight="1" x14ac:dyDescent="0.2">
      <c r="B14" s="68" t="s">
        <v>388</v>
      </c>
      <c r="C14" s="26" t="s">
        <v>389</v>
      </c>
      <c r="D14" s="27">
        <v>0</v>
      </c>
      <c r="E14" s="27">
        <v>1</v>
      </c>
      <c r="F14" s="28">
        <v>15</v>
      </c>
      <c r="G14" s="29">
        <v>13</v>
      </c>
    </row>
    <row r="15" spans="2:7" ht="11.25" customHeight="1" x14ac:dyDescent="0.2">
      <c r="B15" s="108" t="s">
        <v>20</v>
      </c>
      <c r="C15" s="108"/>
      <c r="D15" s="129">
        <f>D14+E14</f>
        <v>1</v>
      </c>
      <c r="E15" s="130"/>
      <c r="F15" s="69">
        <f>F14</f>
        <v>15</v>
      </c>
      <c r="G15" s="42">
        <f>G14</f>
        <v>13</v>
      </c>
    </row>
    <row r="16" spans="2:7" ht="30" customHeight="1" x14ac:dyDescent="0.2">
      <c r="B16" s="72" t="s">
        <v>133</v>
      </c>
      <c r="C16" s="26" t="s">
        <v>134</v>
      </c>
      <c r="D16" s="27">
        <v>0</v>
      </c>
      <c r="E16" s="27">
        <v>1</v>
      </c>
      <c r="F16" s="28">
        <v>7</v>
      </c>
      <c r="G16" s="29">
        <v>9</v>
      </c>
    </row>
    <row r="17" spans="2:7" ht="11.25" customHeight="1" x14ac:dyDescent="0.2">
      <c r="B17" s="108" t="s">
        <v>20</v>
      </c>
      <c r="C17" s="108"/>
      <c r="D17" s="129">
        <f>D16+E16</f>
        <v>1</v>
      </c>
      <c r="E17" s="130"/>
      <c r="F17" s="69">
        <f>F16</f>
        <v>7</v>
      </c>
      <c r="G17" s="42">
        <f>G16</f>
        <v>9</v>
      </c>
    </row>
    <row r="18" spans="2:7" ht="30" customHeight="1" x14ac:dyDescent="0.2">
      <c r="B18" s="68" t="s">
        <v>146</v>
      </c>
      <c r="C18" s="43" t="s">
        <v>147</v>
      </c>
      <c r="D18" s="19">
        <v>0</v>
      </c>
      <c r="E18" s="19">
        <v>1</v>
      </c>
      <c r="F18" s="25" t="s">
        <v>57</v>
      </c>
      <c r="G18" s="19">
        <v>27</v>
      </c>
    </row>
    <row r="19" spans="2:7" ht="11.25" customHeight="1" x14ac:dyDescent="0.2">
      <c r="B19" s="108" t="s">
        <v>20</v>
      </c>
      <c r="C19" s="108"/>
      <c r="D19" s="136">
        <f>D18+E18</f>
        <v>1</v>
      </c>
      <c r="E19" s="137"/>
      <c r="F19" s="45" t="str">
        <f>F18</f>
        <v>7</v>
      </c>
      <c r="G19" s="44">
        <f>G18</f>
        <v>27</v>
      </c>
    </row>
    <row r="20" spans="2:7" ht="30" customHeight="1" x14ac:dyDescent="0.2">
      <c r="B20" s="68" t="s">
        <v>149</v>
      </c>
      <c r="C20" s="21" t="s">
        <v>150</v>
      </c>
      <c r="D20" s="19">
        <v>0</v>
      </c>
      <c r="E20" s="19">
        <v>1</v>
      </c>
      <c r="F20" s="25" t="s">
        <v>41</v>
      </c>
      <c r="G20" s="19">
        <v>386</v>
      </c>
    </row>
    <row r="21" spans="2:7" ht="11.25" customHeight="1" x14ac:dyDescent="0.2">
      <c r="B21" s="108" t="s">
        <v>20</v>
      </c>
      <c r="C21" s="108"/>
      <c r="D21" s="131">
        <f>SUM(D20:E20)</f>
        <v>1</v>
      </c>
      <c r="E21" s="132"/>
      <c r="F21" s="22" t="s">
        <v>41</v>
      </c>
      <c r="G21" s="14">
        <f>SUM(G20:G20)</f>
        <v>386</v>
      </c>
    </row>
    <row r="22" spans="2:7" ht="24" x14ac:dyDescent="0.2">
      <c r="B22" s="68" t="s">
        <v>152</v>
      </c>
      <c r="C22" s="21" t="s">
        <v>153</v>
      </c>
      <c r="D22" s="19">
        <v>2</v>
      </c>
      <c r="E22" s="19">
        <v>0</v>
      </c>
      <c r="F22" s="25" t="s">
        <v>21</v>
      </c>
      <c r="G22" s="19">
        <v>22</v>
      </c>
    </row>
    <row r="23" spans="2:7" ht="12" customHeight="1" x14ac:dyDescent="0.2">
      <c r="B23" s="108" t="s">
        <v>20</v>
      </c>
      <c r="C23" s="108"/>
      <c r="D23" s="131">
        <f>SUM(D22:E22)</f>
        <v>2</v>
      </c>
      <c r="E23" s="132"/>
      <c r="F23" s="22" t="s">
        <v>41</v>
      </c>
      <c r="G23" s="14">
        <f>SUM(G22:G22)</f>
        <v>22</v>
      </c>
    </row>
    <row r="24" spans="2:7" x14ac:dyDescent="0.2">
      <c r="B24" s="2"/>
      <c r="C24" s="2"/>
      <c r="D24" s="2"/>
      <c r="E24" s="2"/>
      <c r="F24" s="2"/>
      <c r="G24" s="2"/>
    </row>
    <row r="25" spans="2:7" x14ac:dyDescent="0.2">
      <c r="B25" s="128" t="s">
        <v>135</v>
      </c>
      <c r="C25" s="128"/>
      <c r="D25" s="138">
        <f>D21+D13+D11+D7+D17+D19+D23+D15+D9</f>
        <v>45</v>
      </c>
      <c r="E25" s="139"/>
      <c r="F25" s="68" t="s">
        <v>154</v>
      </c>
      <c r="G25" s="30">
        <f>G7+G11+G13+G17+G19++G21+G23+G15+G9</f>
        <v>556</v>
      </c>
    </row>
  </sheetData>
  <mergeCells count="25">
    <mergeCell ref="D23:E23"/>
    <mergeCell ref="D19:E19"/>
    <mergeCell ref="B21:C21"/>
    <mergeCell ref="D21:E21"/>
    <mergeCell ref="B25:C25"/>
    <mergeCell ref="D25:E25"/>
    <mergeCell ref="B19:C19"/>
    <mergeCell ref="B23:C23"/>
    <mergeCell ref="B2:G2"/>
    <mergeCell ref="B3:G3"/>
    <mergeCell ref="B4:B5"/>
    <mergeCell ref="C4:C5"/>
    <mergeCell ref="D4:G4"/>
    <mergeCell ref="D15:E15"/>
    <mergeCell ref="D17:E17"/>
    <mergeCell ref="B7:C7"/>
    <mergeCell ref="D7:E7"/>
    <mergeCell ref="B11:C11"/>
    <mergeCell ref="D11:E11"/>
    <mergeCell ref="B13:C13"/>
    <mergeCell ref="D13:E13"/>
    <mergeCell ref="B15:C15"/>
    <mergeCell ref="B17:C17"/>
    <mergeCell ref="B9:C9"/>
    <mergeCell ref="D9:E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C545D"/>
    <pageSetUpPr fitToPage="1"/>
  </sheetPr>
  <dimension ref="B2:I69"/>
  <sheetViews>
    <sheetView showGridLines="0" zoomScale="85" zoomScaleNormal="85" workbookViewId="0">
      <pane xSplit="1" ySplit="1" topLeftCell="B53" activePane="bottomRight" state="frozen"/>
      <selection pane="topRight" activeCell="B1" sqref="B1"/>
      <selection pane="bottomLeft" activeCell="A7" sqref="A7"/>
      <selection pane="bottomRight" activeCell="H69" sqref="H69"/>
    </sheetView>
  </sheetViews>
  <sheetFormatPr defaultColWidth="8.85546875" defaultRowHeight="12" x14ac:dyDescent="0.2"/>
  <cols>
    <col min="1" max="1" width="2.140625" style="2" customWidth="1"/>
    <col min="2" max="2" width="12.140625" style="23" customWidth="1"/>
    <col min="3" max="3" width="19.5703125" style="24" customWidth="1"/>
    <col min="4" max="4" width="26.7109375" style="23" customWidth="1"/>
    <col min="5" max="5" width="9.85546875" style="23" customWidth="1"/>
    <col min="6" max="6" width="12.42578125" style="23" customWidth="1"/>
    <col min="7" max="8" width="9.85546875" style="23" customWidth="1"/>
    <col min="9" max="16384" width="8.85546875" style="2"/>
  </cols>
  <sheetData>
    <row r="2" spans="2:8" x14ac:dyDescent="0.2">
      <c r="B2" s="133" t="s">
        <v>422</v>
      </c>
      <c r="C2" s="133"/>
      <c r="D2" s="133"/>
      <c r="E2" s="133"/>
      <c r="F2" s="133"/>
      <c r="G2" s="133"/>
      <c r="H2" s="133"/>
    </row>
    <row r="3" spans="2:8" ht="12" customHeight="1" x14ac:dyDescent="0.2">
      <c r="B3" s="134" t="s">
        <v>120</v>
      </c>
      <c r="C3" s="134"/>
      <c r="D3" s="134"/>
      <c r="E3" s="134"/>
      <c r="F3" s="134"/>
      <c r="G3" s="134"/>
      <c r="H3" s="134"/>
    </row>
    <row r="4" spans="2:8" ht="12" customHeight="1" x14ac:dyDescent="0.2">
      <c r="B4" s="135" t="s">
        <v>97</v>
      </c>
      <c r="C4" s="135" t="s">
        <v>6</v>
      </c>
      <c r="D4" s="135" t="s">
        <v>7</v>
      </c>
      <c r="E4" s="135" t="s">
        <v>8</v>
      </c>
      <c r="F4" s="135"/>
      <c r="G4" s="135"/>
      <c r="H4" s="135"/>
    </row>
    <row r="5" spans="2:8" ht="24" x14ac:dyDescent="0.2">
      <c r="B5" s="135"/>
      <c r="C5" s="135"/>
      <c r="D5" s="135"/>
      <c r="E5" s="85" t="s">
        <v>98</v>
      </c>
      <c r="F5" s="85" t="s">
        <v>99</v>
      </c>
      <c r="G5" s="85" t="s">
        <v>100</v>
      </c>
      <c r="H5" s="85" t="s">
        <v>9</v>
      </c>
    </row>
    <row r="6" spans="2:8" x14ac:dyDescent="0.2">
      <c r="B6" s="107" t="s">
        <v>471</v>
      </c>
      <c r="C6" s="19" t="s">
        <v>183</v>
      </c>
      <c r="D6" s="19" t="s">
        <v>194</v>
      </c>
      <c r="E6" s="19">
        <v>18</v>
      </c>
      <c r="F6" s="19">
        <v>9</v>
      </c>
      <c r="G6" s="86" t="s">
        <v>182</v>
      </c>
      <c r="H6" s="19">
        <v>417</v>
      </c>
    </row>
    <row r="7" spans="2:8" ht="15" customHeight="1" x14ac:dyDescent="0.2">
      <c r="B7" s="107"/>
      <c r="C7" s="19" t="s">
        <v>177</v>
      </c>
      <c r="D7" s="19" t="s">
        <v>193</v>
      </c>
      <c r="E7" s="19">
        <v>11</v>
      </c>
      <c r="F7" s="19">
        <v>11</v>
      </c>
      <c r="G7" s="19">
        <v>10</v>
      </c>
      <c r="H7" s="19">
        <v>880</v>
      </c>
    </row>
    <row r="8" spans="2:8" ht="15" customHeight="1" x14ac:dyDescent="0.2">
      <c r="B8" s="107"/>
      <c r="C8" s="19" t="s">
        <v>506</v>
      </c>
      <c r="D8" s="19" t="s">
        <v>508</v>
      </c>
      <c r="E8" s="19">
        <v>8</v>
      </c>
      <c r="F8" s="19">
        <v>8</v>
      </c>
      <c r="G8" s="87" t="s">
        <v>509</v>
      </c>
      <c r="H8" s="19">
        <v>548</v>
      </c>
    </row>
    <row r="9" spans="2:8" ht="15" customHeight="1" x14ac:dyDescent="0.2">
      <c r="B9" s="107"/>
      <c r="C9" s="19" t="s">
        <v>507</v>
      </c>
      <c r="D9" s="19" t="s">
        <v>510</v>
      </c>
      <c r="E9" s="19">
        <v>16</v>
      </c>
      <c r="F9" s="19">
        <v>8</v>
      </c>
      <c r="G9" s="87" t="s">
        <v>509</v>
      </c>
      <c r="H9" s="19">
        <v>548</v>
      </c>
    </row>
    <row r="10" spans="2:8" x14ac:dyDescent="0.2">
      <c r="B10" s="108" t="s">
        <v>20</v>
      </c>
      <c r="C10" s="108"/>
      <c r="D10" s="108"/>
      <c r="E10" s="85">
        <f>SUM(E6:E9)</f>
        <v>53</v>
      </c>
      <c r="F10" s="85">
        <f>SUM(F6:F9)</f>
        <v>36</v>
      </c>
      <c r="G10" s="47" t="s">
        <v>184</v>
      </c>
      <c r="H10" s="85">
        <f>SUM(H6:H9)</f>
        <v>2393</v>
      </c>
    </row>
    <row r="11" spans="2:8" ht="24" x14ac:dyDescent="0.2">
      <c r="B11" s="107" t="s">
        <v>472</v>
      </c>
      <c r="C11" s="19" t="s">
        <v>399</v>
      </c>
      <c r="D11" s="19" t="s">
        <v>511</v>
      </c>
      <c r="E11" s="19">
        <v>6</v>
      </c>
      <c r="F11" s="19">
        <v>3</v>
      </c>
      <c r="G11" s="19">
        <v>12</v>
      </c>
      <c r="H11" s="19">
        <v>149</v>
      </c>
    </row>
    <row r="12" spans="2:8" x14ac:dyDescent="0.2">
      <c r="B12" s="107"/>
      <c r="C12" s="19" t="s">
        <v>534</v>
      </c>
      <c r="D12" s="19" t="s">
        <v>535</v>
      </c>
      <c r="E12" s="19">
        <v>6</v>
      </c>
      <c r="F12" s="19">
        <v>6</v>
      </c>
      <c r="G12" s="19">
        <v>9</v>
      </c>
      <c r="H12" s="19">
        <v>220</v>
      </c>
    </row>
    <row r="13" spans="2:8" x14ac:dyDescent="0.2">
      <c r="B13" s="107"/>
      <c r="C13" s="19" t="s">
        <v>381</v>
      </c>
      <c r="D13" s="19" t="s">
        <v>512</v>
      </c>
      <c r="E13" s="19">
        <v>4</v>
      </c>
      <c r="F13" s="19">
        <v>2</v>
      </c>
      <c r="G13" s="19">
        <v>17</v>
      </c>
      <c r="H13" s="19">
        <v>120</v>
      </c>
    </row>
    <row r="14" spans="2:8" x14ac:dyDescent="0.2">
      <c r="B14" s="107"/>
      <c r="C14" s="19" t="s">
        <v>440</v>
      </c>
      <c r="D14" s="19" t="s">
        <v>514</v>
      </c>
      <c r="E14" s="19">
        <v>9</v>
      </c>
      <c r="F14" s="19">
        <v>5</v>
      </c>
      <c r="G14" s="19">
        <v>17</v>
      </c>
      <c r="H14" s="19">
        <v>270</v>
      </c>
    </row>
    <row r="15" spans="2:8" x14ac:dyDescent="0.2">
      <c r="B15" s="107"/>
      <c r="C15" s="19" t="s">
        <v>441</v>
      </c>
      <c r="D15" s="19" t="s">
        <v>513</v>
      </c>
      <c r="E15" s="19">
        <v>6</v>
      </c>
      <c r="F15" s="19">
        <v>4</v>
      </c>
      <c r="G15" s="19">
        <v>17</v>
      </c>
      <c r="H15" s="19">
        <v>270</v>
      </c>
    </row>
    <row r="16" spans="2:8" x14ac:dyDescent="0.2">
      <c r="B16" s="107"/>
      <c r="C16" s="19" t="s">
        <v>377</v>
      </c>
      <c r="D16" s="19" t="s">
        <v>380</v>
      </c>
      <c r="E16" s="19">
        <v>5</v>
      </c>
      <c r="F16" s="19">
        <v>3</v>
      </c>
      <c r="G16" s="19">
        <v>12</v>
      </c>
      <c r="H16" s="19">
        <v>136</v>
      </c>
    </row>
    <row r="17" spans="2:8" x14ac:dyDescent="0.2">
      <c r="B17" s="107"/>
      <c r="C17" s="19" t="s">
        <v>378</v>
      </c>
      <c r="D17" s="19" t="s">
        <v>379</v>
      </c>
      <c r="E17" s="19">
        <v>2</v>
      </c>
      <c r="F17" s="19">
        <v>1</v>
      </c>
      <c r="G17" s="19">
        <v>16</v>
      </c>
      <c r="H17" s="19">
        <v>75</v>
      </c>
    </row>
    <row r="18" spans="2:8" ht="24" x14ac:dyDescent="0.2">
      <c r="B18" s="107"/>
      <c r="C18" s="19" t="s">
        <v>438</v>
      </c>
      <c r="D18" s="19" t="s">
        <v>400</v>
      </c>
      <c r="E18" s="19">
        <v>20</v>
      </c>
      <c r="F18" s="19">
        <v>10</v>
      </c>
      <c r="G18" s="19">
        <v>12</v>
      </c>
      <c r="H18" s="19">
        <v>527</v>
      </c>
    </row>
    <row r="19" spans="2:8" ht="24" x14ac:dyDescent="0.2">
      <c r="B19" s="107"/>
      <c r="C19" s="19" t="s">
        <v>439</v>
      </c>
      <c r="D19" s="19" t="s">
        <v>515</v>
      </c>
      <c r="E19" s="19">
        <v>12</v>
      </c>
      <c r="F19" s="19">
        <v>6</v>
      </c>
      <c r="G19" s="19">
        <v>12</v>
      </c>
      <c r="H19" s="19">
        <v>529</v>
      </c>
    </row>
    <row r="20" spans="2:8" x14ac:dyDescent="0.2">
      <c r="B20" s="108" t="s">
        <v>20</v>
      </c>
      <c r="C20" s="108"/>
      <c r="D20" s="108"/>
      <c r="E20" s="85">
        <f>SUM(E11:E19)</f>
        <v>70</v>
      </c>
      <c r="F20" s="92">
        <f>SUM(F11:F19)</f>
        <v>40</v>
      </c>
      <c r="G20" s="92">
        <f>SUM(G11:G19)</f>
        <v>124</v>
      </c>
      <c r="H20" s="92">
        <f>SUM(H11:H19)</f>
        <v>2296</v>
      </c>
    </row>
    <row r="21" spans="2:8" ht="24" x14ac:dyDescent="0.2">
      <c r="B21" s="107" t="s">
        <v>565</v>
      </c>
      <c r="C21" s="19" t="s">
        <v>446</v>
      </c>
      <c r="D21" s="19" t="s">
        <v>516</v>
      </c>
      <c r="E21" s="19">
        <v>16</v>
      </c>
      <c r="F21" s="19">
        <v>8</v>
      </c>
      <c r="G21" s="19">
        <v>12</v>
      </c>
      <c r="H21" s="19">
        <v>145</v>
      </c>
    </row>
    <row r="22" spans="2:8" ht="24" x14ac:dyDescent="0.2">
      <c r="B22" s="107"/>
      <c r="C22" s="19" t="s">
        <v>447</v>
      </c>
      <c r="D22" s="19" t="s">
        <v>448</v>
      </c>
      <c r="E22" s="19">
        <v>10</v>
      </c>
      <c r="F22" s="19">
        <v>5</v>
      </c>
      <c r="G22" s="19">
        <v>12</v>
      </c>
      <c r="H22" s="19">
        <v>145</v>
      </c>
    </row>
    <row r="23" spans="2:8" ht="24" x14ac:dyDescent="0.2">
      <c r="B23" s="107"/>
      <c r="C23" s="19" t="s">
        <v>561</v>
      </c>
      <c r="D23" s="19" t="s">
        <v>562</v>
      </c>
      <c r="E23" s="19">
        <v>14</v>
      </c>
      <c r="F23" s="19">
        <v>14</v>
      </c>
      <c r="G23" s="19">
        <v>6</v>
      </c>
      <c r="H23" s="19">
        <v>364</v>
      </c>
    </row>
    <row r="24" spans="2:8" ht="24" x14ac:dyDescent="0.2">
      <c r="B24" s="107"/>
      <c r="C24" s="19" t="s">
        <v>563</v>
      </c>
      <c r="D24" s="19" t="s">
        <v>564</v>
      </c>
      <c r="E24" s="19">
        <v>12</v>
      </c>
      <c r="F24" s="19">
        <v>12</v>
      </c>
      <c r="G24" s="19">
        <v>6</v>
      </c>
      <c r="H24" s="19">
        <v>289</v>
      </c>
    </row>
    <row r="25" spans="2:8" x14ac:dyDescent="0.2">
      <c r="B25" s="108" t="s">
        <v>20</v>
      </c>
      <c r="C25" s="108"/>
      <c r="D25" s="108"/>
      <c r="E25" s="93">
        <f>SUM(E21:E24)</f>
        <v>52</v>
      </c>
      <c r="F25" s="93">
        <f>SUM(F21:F24)</f>
        <v>39</v>
      </c>
      <c r="G25" s="93">
        <f>SUM(G21:G24)</f>
        <v>36</v>
      </c>
      <c r="H25" s="93">
        <f>SUM(H21:H24)</f>
        <v>943</v>
      </c>
    </row>
    <row r="26" spans="2:8" ht="15" customHeight="1" x14ac:dyDescent="0.2">
      <c r="B26" s="140" t="s">
        <v>536</v>
      </c>
      <c r="C26" s="21" t="s">
        <v>185</v>
      </c>
      <c r="D26" s="21" t="s">
        <v>517</v>
      </c>
      <c r="E26" s="19">
        <v>19</v>
      </c>
      <c r="F26" s="19">
        <v>19</v>
      </c>
      <c r="G26" s="19">
        <v>7</v>
      </c>
      <c r="H26" s="19">
        <v>349</v>
      </c>
    </row>
    <row r="27" spans="2:8" ht="15" customHeight="1" x14ac:dyDescent="0.2">
      <c r="B27" s="140"/>
      <c r="C27" s="21" t="s">
        <v>115</v>
      </c>
      <c r="D27" s="21" t="s">
        <v>195</v>
      </c>
      <c r="E27" s="21">
        <v>8</v>
      </c>
      <c r="F27" s="21">
        <v>4</v>
      </c>
      <c r="G27" s="21">
        <v>13</v>
      </c>
      <c r="H27" s="21">
        <v>264</v>
      </c>
    </row>
    <row r="28" spans="2:8" ht="15" customHeight="1" x14ac:dyDescent="0.2">
      <c r="B28" s="140"/>
      <c r="C28" s="21" t="s">
        <v>116</v>
      </c>
      <c r="D28" s="21" t="s">
        <v>196</v>
      </c>
      <c r="E28" s="19">
        <v>6</v>
      </c>
      <c r="F28" s="19">
        <v>3</v>
      </c>
      <c r="G28" s="19">
        <v>12</v>
      </c>
      <c r="H28" s="19">
        <v>417</v>
      </c>
    </row>
    <row r="29" spans="2:8" ht="15" customHeight="1" x14ac:dyDescent="0.2">
      <c r="B29" s="140"/>
      <c r="C29" s="21" t="s">
        <v>117</v>
      </c>
      <c r="D29" s="46" t="s">
        <v>197</v>
      </c>
      <c r="E29" s="19">
        <v>2</v>
      </c>
      <c r="F29" s="19">
        <v>2</v>
      </c>
      <c r="G29" s="19">
        <v>13</v>
      </c>
      <c r="H29" s="19">
        <v>72</v>
      </c>
    </row>
    <row r="30" spans="2:8" ht="15" customHeight="1" x14ac:dyDescent="0.2">
      <c r="B30" s="140"/>
      <c r="C30" s="19" t="s">
        <v>176</v>
      </c>
      <c r="D30" s="19" t="s">
        <v>518</v>
      </c>
      <c r="E30" s="19">
        <v>22</v>
      </c>
      <c r="F30" s="19">
        <v>11</v>
      </c>
      <c r="G30" s="19" t="s">
        <v>186</v>
      </c>
      <c r="H30" s="19">
        <v>660</v>
      </c>
    </row>
    <row r="31" spans="2:8" ht="15" customHeight="1" x14ac:dyDescent="0.2">
      <c r="B31" s="140"/>
      <c r="C31" s="19" t="s">
        <v>188</v>
      </c>
      <c r="D31" s="19" t="s">
        <v>211</v>
      </c>
      <c r="E31" s="19">
        <v>4</v>
      </c>
      <c r="F31" s="19">
        <v>2</v>
      </c>
      <c r="G31" s="19">
        <v>12</v>
      </c>
      <c r="H31" s="19">
        <v>266</v>
      </c>
    </row>
    <row r="32" spans="2:8" ht="25.5" customHeight="1" x14ac:dyDescent="0.2">
      <c r="B32" s="140"/>
      <c r="C32" s="19" t="s">
        <v>180</v>
      </c>
      <c r="D32" s="19" t="s">
        <v>206</v>
      </c>
      <c r="E32" s="19">
        <v>1</v>
      </c>
      <c r="F32" s="19">
        <v>1</v>
      </c>
      <c r="G32" s="19">
        <v>10</v>
      </c>
      <c r="H32" s="19">
        <v>26</v>
      </c>
    </row>
    <row r="33" spans="2:9" ht="15" customHeight="1" x14ac:dyDescent="0.2">
      <c r="B33" s="140"/>
      <c r="C33" s="21" t="s">
        <v>404</v>
      </c>
      <c r="D33" s="21" t="s">
        <v>405</v>
      </c>
      <c r="E33" s="21">
        <v>9</v>
      </c>
      <c r="F33" s="21">
        <v>3</v>
      </c>
      <c r="G33" s="21">
        <v>21</v>
      </c>
      <c r="H33" s="21">
        <v>330</v>
      </c>
    </row>
    <row r="34" spans="2:9" ht="24.75" customHeight="1" x14ac:dyDescent="0.2">
      <c r="B34" s="140"/>
      <c r="C34" s="19" t="s">
        <v>418</v>
      </c>
      <c r="D34" s="19" t="s">
        <v>419</v>
      </c>
      <c r="E34" s="19">
        <v>3</v>
      </c>
      <c r="F34" s="19">
        <v>3</v>
      </c>
      <c r="G34" s="19">
        <v>9</v>
      </c>
      <c r="H34" s="19">
        <v>99</v>
      </c>
    </row>
    <row r="35" spans="2:9" ht="15" customHeight="1" x14ac:dyDescent="0.2">
      <c r="B35" s="88"/>
      <c r="C35" s="89"/>
      <c r="D35" s="89"/>
      <c r="E35" s="89">
        <f>SUM(E26:E34)</f>
        <v>74</v>
      </c>
      <c r="F35" s="89">
        <f>SUM(F26:F34)</f>
        <v>48</v>
      </c>
      <c r="G35" s="89" t="s">
        <v>537</v>
      </c>
      <c r="H35" s="89">
        <f>SUM(H26:H34)</f>
        <v>2483</v>
      </c>
    </row>
    <row r="36" spans="2:9" ht="36" x14ac:dyDescent="0.2">
      <c r="B36" s="140" t="s">
        <v>538</v>
      </c>
      <c r="C36" s="19" t="s">
        <v>386</v>
      </c>
      <c r="D36" s="19" t="s">
        <v>387</v>
      </c>
      <c r="E36" s="19">
        <v>11</v>
      </c>
      <c r="F36" s="19">
        <v>6</v>
      </c>
      <c r="G36" s="19" t="s">
        <v>251</v>
      </c>
      <c r="H36" s="19">
        <v>388</v>
      </c>
    </row>
    <row r="37" spans="2:9" x14ac:dyDescent="0.2">
      <c r="B37" s="140"/>
      <c r="C37" s="94" t="s">
        <v>566</v>
      </c>
      <c r="D37" s="94" t="s">
        <v>567</v>
      </c>
      <c r="E37" s="94">
        <v>8</v>
      </c>
      <c r="F37" s="94">
        <v>5</v>
      </c>
      <c r="G37" s="94">
        <v>13</v>
      </c>
      <c r="H37" s="94">
        <v>239</v>
      </c>
      <c r="I37" s="2" t="s">
        <v>568</v>
      </c>
    </row>
    <row r="38" spans="2:9" ht="15" customHeight="1" x14ac:dyDescent="0.2">
      <c r="B38" s="140"/>
      <c r="C38" s="19" t="s">
        <v>179</v>
      </c>
      <c r="D38" s="19" t="s">
        <v>203</v>
      </c>
      <c r="E38" s="19">
        <v>1</v>
      </c>
      <c r="F38" s="19">
        <v>1</v>
      </c>
      <c r="G38" s="19">
        <v>7</v>
      </c>
      <c r="H38" s="19">
        <v>24</v>
      </c>
    </row>
    <row r="39" spans="2:9" ht="15" customHeight="1" x14ac:dyDescent="0.2">
      <c r="B39" s="140"/>
      <c r="C39" s="19" t="s">
        <v>181</v>
      </c>
      <c r="D39" s="19" t="s">
        <v>210</v>
      </c>
      <c r="E39" s="19">
        <v>4</v>
      </c>
      <c r="F39" s="19">
        <v>5</v>
      </c>
      <c r="G39" s="19">
        <v>10</v>
      </c>
      <c r="H39" s="19">
        <v>132</v>
      </c>
    </row>
    <row r="40" spans="2:9" ht="15" customHeight="1" x14ac:dyDescent="0.2">
      <c r="B40" s="140"/>
      <c r="C40" s="19" t="s">
        <v>204</v>
      </c>
      <c r="D40" s="19" t="s">
        <v>205</v>
      </c>
      <c r="E40" s="19">
        <v>1</v>
      </c>
      <c r="F40" s="19">
        <v>1</v>
      </c>
      <c r="G40" s="19">
        <v>7</v>
      </c>
      <c r="H40" s="19">
        <v>50</v>
      </c>
    </row>
    <row r="41" spans="2:9" ht="15" customHeight="1" x14ac:dyDescent="0.2">
      <c r="B41" s="140"/>
      <c r="C41" s="19" t="s">
        <v>359</v>
      </c>
      <c r="D41" s="19" t="s">
        <v>360</v>
      </c>
      <c r="E41" s="19">
        <v>7</v>
      </c>
      <c r="F41" s="19">
        <v>7</v>
      </c>
      <c r="G41" s="19">
        <v>10</v>
      </c>
      <c r="H41" s="19">
        <v>114</v>
      </c>
    </row>
    <row r="42" spans="2:9" ht="24" x14ac:dyDescent="0.2">
      <c r="B42" s="140"/>
      <c r="C42" s="94" t="s">
        <v>569</v>
      </c>
      <c r="D42" s="94" t="s">
        <v>570</v>
      </c>
      <c r="E42" s="94">
        <v>8</v>
      </c>
      <c r="F42" s="94">
        <v>4</v>
      </c>
      <c r="G42" s="94">
        <v>13</v>
      </c>
      <c r="H42" s="94">
        <v>255</v>
      </c>
      <c r="I42" s="2" t="s">
        <v>568</v>
      </c>
    </row>
    <row r="43" spans="2:9" x14ac:dyDescent="0.2">
      <c r="B43" s="140"/>
      <c r="C43" s="21" t="s">
        <v>29</v>
      </c>
      <c r="D43" s="21" t="s">
        <v>466</v>
      </c>
      <c r="E43" s="19">
        <v>12</v>
      </c>
      <c r="F43" s="19">
        <v>6</v>
      </c>
      <c r="G43" s="19">
        <v>13</v>
      </c>
      <c r="H43" s="19">
        <v>220</v>
      </c>
    </row>
    <row r="44" spans="2:9" ht="24" x14ac:dyDescent="0.2">
      <c r="B44" s="140"/>
      <c r="C44" s="19" t="s">
        <v>171</v>
      </c>
      <c r="D44" s="19" t="s">
        <v>212</v>
      </c>
      <c r="E44" s="19">
        <v>24</v>
      </c>
      <c r="F44" s="19">
        <v>10</v>
      </c>
      <c r="G44" s="19" t="s">
        <v>187</v>
      </c>
      <c r="H44" s="19">
        <v>1244</v>
      </c>
    </row>
    <row r="45" spans="2:9" ht="15" customHeight="1" x14ac:dyDescent="0.2">
      <c r="B45" s="88"/>
      <c r="C45" s="89"/>
      <c r="D45" s="89"/>
      <c r="E45" s="89">
        <f>SUM(E36:E44)</f>
        <v>76</v>
      </c>
      <c r="F45" s="89">
        <f>SUM(F36:F44)</f>
        <v>45</v>
      </c>
      <c r="G45" s="89" t="s">
        <v>539</v>
      </c>
      <c r="H45" s="89">
        <f>SUM(H36:H44)</f>
        <v>2666</v>
      </c>
    </row>
    <row r="46" spans="2:9" x14ac:dyDescent="0.2">
      <c r="B46" s="140" t="s">
        <v>540</v>
      </c>
      <c r="C46" s="21" t="s">
        <v>370</v>
      </c>
      <c r="D46" s="21" t="s">
        <v>519</v>
      </c>
      <c r="E46" s="21">
        <v>6</v>
      </c>
      <c r="F46" s="21">
        <v>3</v>
      </c>
      <c r="G46" s="21">
        <v>13</v>
      </c>
      <c r="H46" s="21">
        <v>205</v>
      </c>
    </row>
    <row r="47" spans="2:9" x14ac:dyDescent="0.2">
      <c r="B47" s="140"/>
      <c r="C47" s="19" t="s">
        <v>468</v>
      </c>
      <c r="D47" s="19" t="s">
        <v>209</v>
      </c>
      <c r="E47" s="19">
        <v>10</v>
      </c>
      <c r="F47" s="19">
        <v>5</v>
      </c>
      <c r="G47" s="19">
        <v>16</v>
      </c>
      <c r="H47" s="19">
        <v>350</v>
      </c>
    </row>
    <row r="48" spans="2:9" x14ac:dyDescent="0.2">
      <c r="B48" s="140"/>
      <c r="C48" s="19" t="s">
        <v>522</v>
      </c>
      <c r="D48" s="19" t="s">
        <v>523</v>
      </c>
      <c r="E48" s="19">
        <v>8</v>
      </c>
      <c r="F48" s="19">
        <v>8</v>
      </c>
      <c r="G48" s="19">
        <v>10</v>
      </c>
      <c r="H48" s="19">
        <v>225</v>
      </c>
    </row>
    <row r="49" spans="2:8" x14ac:dyDescent="0.2">
      <c r="B49" s="140"/>
      <c r="C49" s="19" t="s">
        <v>207</v>
      </c>
      <c r="D49" s="19" t="s">
        <v>208</v>
      </c>
      <c r="E49" s="19">
        <v>12</v>
      </c>
      <c r="F49" s="19">
        <v>6</v>
      </c>
      <c r="G49" s="19">
        <v>13</v>
      </c>
      <c r="H49" s="19">
        <v>396</v>
      </c>
    </row>
    <row r="50" spans="2:8" x14ac:dyDescent="0.2">
      <c r="B50" s="140"/>
      <c r="C50" s="19" t="s">
        <v>467</v>
      </c>
      <c r="D50" s="19" t="s">
        <v>469</v>
      </c>
      <c r="E50" s="19">
        <v>10</v>
      </c>
      <c r="F50" s="19">
        <v>5</v>
      </c>
      <c r="G50" s="19">
        <v>17</v>
      </c>
      <c r="H50" s="19">
        <v>411</v>
      </c>
    </row>
    <row r="51" spans="2:8" x14ac:dyDescent="0.2">
      <c r="B51" s="140"/>
      <c r="C51" s="21" t="s">
        <v>476</v>
      </c>
      <c r="D51" s="21" t="s">
        <v>520</v>
      </c>
      <c r="E51" s="21">
        <v>12</v>
      </c>
      <c r="F51" s="21">
        <v>12</v>
      </c>
      <c r="G51" s="21">
        <v>6</v>
      </c>
      <c r="H51" s="21">
        <v>288</v>
      </c>
    </row>
    <row r="52" spans="2:8" x14ac:dyDescent="0.2">
      <c r="B52" s="140"/>
      <c r="C52" s="21" t="s">
        <v>144</v>
      </c>
      <c r="D52" s="21" t="s">
        <v>202</v>
      </c>
      <c r="E52" s="19">
        <v>5</v>
      </c>
      <c r="F52" s="19">
        <v>5</v>
      </c>
      <c r="G52" s="19">
        <v>9</v>
      </c>
      <c r="H52" s="19">
        <v>96</v>
      </c>
    </row>
    <row r="53" spans="2:8" x14ac:dyDescent="0.2">
      <c r="B53" s="88"/>
      <c r="C53" s="89"/>
      <c r="D53" s="89"/>
      <c r="E53" s="89">
        <f>SUM(E46:E52)</f>
        <v>63</v>
      </c>
      <c r="F53" s="89">
        <f t="shared" ref="F53:H53" si="0">SUM(F46:F52)</f>
        <v>44</v>
      </c>
      <c r="G53" s="89" t="s">
        <v>541</v>
      </c>
      <c r="H53" s="89">
        <f t="shared" si="0"/>
        <v>1971</v>
      </c>
    </row>
    <row r="54" spans="2:8" ht="24" x14ac:dyDescent="0.2">
      <c r="B54" s="140" t="s">
        <v>542</v>
      </c>
      <c r="C54" s="21" t="s">
        <v>401</v>
      </c>
      <c r="D54" s="21" t="s">
        <v>402</v>
      </c>
      <c r="E54" s="21">
        <v>55</v>
      </c>
      <c r="F54" s="21">
        <v>55</v>
      </c>
      <c r="G54" s="21" t="s">
        <v>403</v>
      </c>
      <c r="H54" s="21">
        <v>735</v>
      </c>
    </row>
    <row r="55" spans="2:8" x14ac:dyDescent="0.2">
      <c r="B55" s="140"/>
      <c r="C55" s="21" t="s">
        <v>114</v>
      </c>
      <c r="D55" s="21" t="s">
        <v>213</v>
      </c>
      <c r="E55" s="21">
        <v>18</v>
      </c>
      <c r="F55" s="21">
        <v>18</v>
      </c>
      <c r="G55" s="21">
        <v>4</v>
      </c>
      <c r="H55" s="21">
        <v>156</v>
      </c>
    </row>
    <row r="56" spans="2:8" x14ac:dyDescent="0.2">
      <c r="B56" s="88"/>
      <c r="C56" s="89"/>
      <c r="D56" s="89"/>
      <c r="E56" s="89">
        <f>SUM(E54:E55)</f>
        <v>73</v>
      </c>
      <c r="F56" s="89">
        <f>SUM(F54:F55)</f>
        <v>73</v>
      </c>
      <c r="G56" s="89" t="s">
        <v>403</v>
      </c>
      <c r="H56" s="89">
        <f>SUM(H54:H55)</f>
        <v>891</v>
      </c>
    </row>
    <row r="57" spans="2:8" ht="24" x14ac:dyDescent="0.2">
      <c r="B57" s="140" t="s">
        <v>424</v>
      </c>
      <c r="C57" s="19" t="s">
        <v>442</v>
      </c>
      <c r="D57" s="19" t="s">
        <v>443</v>
      </c>
      <c r="E57" s="19">
        <v>29</v>
      </c>
      <c r="F57" s="19">
        <v>10</v>
      </c>
      <c r="G57" s="19">
        <v>21</v>
      </c>
      <c r="H57" s="19">
        <v>760</v>
      </c>
    </row>
    <row r="58" spans="2:8" ht="24" x14ac:dyDescent="0.2">
      <c r="B58" s="140"/>
      <c r="C58" s="21" t="s">
        <v>368</v>
      </c>
      <c r="D58" s="21" t="s">
        <v>369</v>
      </c>
      <c r="E58" s="21">
        <v>8</v>
      </c>
      <c r="F58" s="21">
        <v>4</v>
      </c>
      <c r="G58" s="21">
        <v>12</v>
      </c>
      <c r="H58" s="21">
        <f>90+118</f>
        <v>208</v>
      </c>
    </row>
    <row r="59" spans="2:8" x14ac:dyDescent="0.2">
      <c r="B59" s="140"/>
      <c r="C59" s="19" t="s">
        <v>151</v>
      </c>
      <c r="D59" s="19" t="s">
        <v>214</v>
      </c>
      <c r="E59" s="19">
        <f>11</f>
        <v>11</v>
      </c>
      <c r="F59" s="19">
        <v>11</v>
      </c>
      <c r="G59" s="19">
        <v>7</v>
      </c>
      <c r="H59" s="19">
        <f>168+97+129</f>
        <v>394</v>
      </c>
    </row>
    <row r="60" spans="2:8" x14ac:dyDescent="0.2">
      <c r="B60" s="140"/>
      <c r="C60" s="21" t="s">
        <v>118</v>
      </c>
      <c r="D60" s="21" t="s">
        <v>198</v>
      </c>
      <c r="E60" s="21">
        <v>12</v>
      </c>
      <c r="F60" s="21">
        <v>6</v>
      </c>
      <c r="G60" s="21">
        <v>20</v>
      </c>
      <c r="H60" s="21">
        <v>440</v>
      </c>
    </row>
    <row r="61" spans="2:8" x14ac:dyDescent="0.2">
      <c r="B61" s="140"/>
      <c r="C61" s="21" t="s">
        <v>119</v>
      </c>
      <c r="D61" s="21" t="s">
        <v>199</v>
      </c>
      <c r="E61" s="19">
        <v>4</v>
      </c>
      <c r="F61" s="19">
        <v>2</v>
      </c>
      <c r="G61" s="19">
        <v>14</v>
      </c>
      <c r="H61" s="19">
        <v>80</v>
      </c>
    </row>
    <row r="62" spans="2:8" x14ac:dyDescent="0.2">
      <c r="B62" s="140"/>
      <c r="C62" s="21" t="s">
        <v>143</v>
      </c>
      <c r="D62" s="21" t="s">
        <v>200</v>
      </c>
      <c r="E62" s="19">
        <v>5</v>
      </c>
      <c r="F62" s="19">
        <v>4</v>
      </c>
      <c r="G62" s="19">
        <v>13</v>
      </c>
      <c r="H62" s="19">
        <v>103</v>
      </c>
    </row>
    <row r="63" spans="2:8" x14ac:dyDescent="0.2">
      <c r="B63" s="140"/>
      <c r="C63" s="21" t="s">
        <v>148</v>
      </c>
      <c r="D63" s="21" t="s">
        <v>201</v>
      </c>
      <c r="E63" s="19">
        <v>2</v>
      </c>
      <c r="F63" s="19">
        <v>1</v>
      </c>
      <c r="G63" s="19">
        <v>9</v>
      </c>
      <c r="H63" s="19">
        <v>32</v>
      </c>
    </row>
    <row r="64" spans="2:8" x14ac:dyDescent="0.2">
      <c r="B64" s="140"/>
      <c r="C64" s="21" t="s">
        <v>215</v>
      </c>
      <c r="D64" s="21" t="s">
        <v>216</v>
      </c>
      <c r="E64" s="19">
        <v>9</v>
      </c>
      <c r="F64" s="19">
        <v>1</v>
      </c>
      <c r="G64" s="19">
        <v>22</v>
      </c>
      <c r="H64" s="19">
        <v>271</v>
      </c>
    </row>
    <row r="65" spans="2:8" ht="24" x14ac:dyDescent="0.2">
      <c r="B65" s="140"/>
      <c r="C65" s="21" t="s">
        <v>382</v>
      </c>
      <c r="D65" s="21" t="s">
        <v>383</v>
      </c>
      <c r="E65" s="21">
        <v>4</v>
      </c>
      <c r="F65" s="21">
        <v>3</v>
      </c>
      <c r="G65" s="21">
        <v>10</v>
      </c>
      <c r="H65" s="21">
        <v>61</v>
      </c>
    </row>
    <row r="66" spans="2:8" x14ac:dyDescent="0.2">
      <c r="B66" s="88"/>
      <c r="C66" s="89"/>
      <c r="D66" s="89"/>
      <c r="E66" s="89">
        <f>SUM(E57:E65)</f>
        <v>84</v>
      </c>
      <c r="F66" s="89">
        <f>SUM(F57:F65)</f>
        <v>42</v>
      </c>
      <c r="G66" s="89" t="s">
        <v>543</v>
      </c>
      <c r="H66" s="89">
        <f>SUM(H57:H65)</f>
        <v>2349</v>
      </c>
    </row>
    <row r="67" spans="2:8" ht="12" customHeight="1" x14ac:dyDescent="0.2">
      <c r="B67" s="90"/>
      <c r="C67" s="2"/>
      <c r="D67" s="2"/>
      <c r="E67" s="2"/>
      <c r="F67" s="2"/>
      <c r="G67" s="2"/>
      <c r="H67" s="2"/>
    </row>
    <row r="68" spans="2:8" x14ac:dyDescent="0.2">
      <c r="B68" s="128" t="s">
        <v>103</v>
      </c>
      <c r="C68" s="128"/>
      <c r="D68" s="128"/>
      <c r="E68" s="30">
        <f>+E20+E10+E53+E56+E45+E35+E66+E25</f>
        <v>545</v>
      </c>
      <c r="F68" s="30">
        <f>+F20+F10+F53+F56+F45+F35+F66</f>
        <v>328</v>
      </c>
      <c r="G68" s="30" t="s">
        <v>394</v>
      </c>
      <c r="H68" s="30">
        <f>+H20+H10+H53+H56+H45+H35+H66+H25</f>
        <v>15992</v>
      </c>
    </row>
    <row r="69" spans="2:8" x14ac:dyDescent="0.2">
      <c r="B69" s="90"/>
    </row>
  </sheetData>
  <mergeCells count="18">
    <mergeCell ref="B4:B5"/>
    <mergeCell ref="C4:C5"/>
    <mergeCell ref="D4:D5"/>
    <mergeCell ref="B2:H2"/>
    <mergeCell ref="B3:H3"/>
    <mergeCell ref="E4:H4"/>
    <mergeCell ref="B68:D68"/>
    <mergeCell ref="B6:B9"/>
    <mergeCell ref="B10:D10"/>
    <mergeCell ref="B54:B55"/>
    <mergeCell ref="B11:B19"/>
    <mergeCell ref="B20:D20"/>
    <mergeCell ref="B26:B34"/>
    <mergeCell ref="B36:B44"/>
    <mergeCell ref="B46:B52"/>
    <mergeCell ref="B57:B65"/>
    <mergeCell ref="B21:B24"/>
    <mergeCell ref="B25:D25"/>
  </mergeCells>
  <phoneticPr fontId="4" type="noConversion"/>
  <pageMargins left="0.7" right="0.7" top="0.75" bottom="0.75" header="0.3" footer="0.3"/>
  <pageSetup scale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G25"/>
  <sheetViews>
    <sheetView workbookViewId="0">
      <selection activeCell="D22" sqref="D22"/>
    </sheetView>
  </sheetViews>
  <sheetFormatPr defaultRowHeight="15" x14ac:dyDescent="0.25"/>
  <cols>
    <col min="1" max="1" width="2.140625" style="2" customWidth="1"/>
    <col min="2" max="2" width="15.7109375" style="23" customWidth="1"/>
    <col min="3" max="3" width="40.7109375" style="23" bestFit="1" customWidth="1"/>
    <col min="4" max="6" width="9.85546875" style="23" customWidth="1"/>
    <col min="7" max="7" width="12.85546875" style="23" customWidth="1"/>
    <col min="8" max="8" width="14" bestFit="1" customWidth="1"/>
  </cols>
  <sheetData>
    <row r="2" spans="2:7" x14ac:dyDescent="0.25">
      <c r="B2" s="133" t="s">
        <v>423</v>
      </c>
      <c r="C2" s="133"/>
      <c r="D2" s="133"/>
      <c r="E2" s="133"/>
      <c r="F2" s="133"/>
      <c r="G2" s="133"/>
    </row>
    <row r="3" spans="2:7" x14ac:dyDescent="0.25">
      <c r="B3" s="134" t="s">
        <v>120</v>
      </c>
      <c r="C3" s="134"/>
      <c r="D3" s="134"/>
      <c r="E3" s="134"/>
      <c r="F3" s="134"/>
      <c r="G3" s="134"/>
    </row>
    <row r="4" spans="2:7" x14ac:dyDescent="0.25">
      <c r="B4" s="111" t="s">
        <v>121</v>
      </c>
      <c r="C4" s="111" t="s">
        <v>122</v>
      </c>
      <c r="D4" s="135" t="s">
        <v>8</v>
      </c>
      <c r="E4" s="135"/>
      <c r="F4" s="135"/>
      <c r="G4" s="135"/>
    </row>
    <row r="5" spans="2:7" ht="24" x14ac:dyDescent="0.25">
      <c r="B5" s="112"/>
      <c r="C5" s="112"/>
      <c r="D5" s="55" t="s">
        <v>123</v>
      </c>
      <c r="E5" s="55" t="s">
        <v>124</v>
      </c>
      <c r="F5" s="55" t="s">
        <v>100</v>
      </c>
      <c r="G5" s="55" t="s">
        <v>125</v>
      </c>
    </row>
    <row r="6" spans="2:7" ht="27" customHeight="1" x14ac:dyDescent="0.25">
      <c r="B6" s="77" t="s">
        <v>415</v>
      </c>
      <c r="C6" s="16" t="s">
        <v>416</v>
      </c>
      <c r="D6" s="17">
        <v>3</v>
      </c>
      <c r="E6" s="17">
        <v>3</v>
      </c>
      <c r="F6" s="18" t="s">
        <v>225</v>
      </c>
      <c r="G6" s="17">
        <v>42</v>
      </c>
    </row>
    <row r="7" spans="2:7" x14ac:dyDescent="0.25">
      <c r="B7" s="108" t="s">
        <v>20</v>
      </c>
      <c r="C7" s="108"/>
      <c r="D7" s="131">
        <f>SUM(D6:E6)</f>
        <v>6</v>
      </c>
      <c r="E7" s="132"/>
      <c r="F7" s="22" t="str">
        <f>F6</f>
        <v>14</v>
      </c>
      <c r="G7" s="14">
        <f>SUM(G6:G6)</f>
        <v>42</v>
      </c>
    </row>
    <row r="8" spans="2:7" ht="27" customHeight="1" x14ac:dyDescent="0.25">
      <c r="B8" s="54" t="s">
        <v>384</v>
      </c>
      <c r="C8" s="16" t="s">
        <v>385</v>
      </c>
      <c r="D8" s="17">
        <v>2</v>
      </c>
      <c r="E8" s="17">
        <v>0</v>
      </c>
      <c r="F8" s="18" t="s">
        <v>225</v>
      </c>
      <c r="G8" s="17">
        <v>14</v>
      </c>
    </row>
    <row r="9" spans="2:7" x14ac:dyDescent="0.25">
      <c r="B9" s="108" t="s">
        <v>20</v>
      </c>
      <c r="C9" s="108"/>
      <c r="D9" s="131">
        <f>SUM(D8:E8)</f>
        <v>2</v>
      </c>
      <c r="E9" s="132"/>
      <c r="F9" s="22" t="str">
        <f>F8</f>
        <v>14</v>
      </c>
      <c r="G9" s="14">
        <f>SUM(G8:G8)</f>
        <v>14</v>
      </c>
    </row>
    <row r="10" spans="2:7" ht="27" customHeight="1" x14ac:dyDescent="0.25">
      <c r="B10" s="78" t="s">
        <v>473</v>
      </c>
      <c r="C10" s="13" t="s">
        <v>477</v>
      </c>
      <c r="D10" s="13">
        <v>6</v>
      </c>
      <c r="E10" s="13">
        <v>0</v>
      </c>
      <c r="F10" s="63" t="s">
        <v>474</v>
      </c>
      <c r="G10" s="12">
        <v>34</v>
      </c>
    </row>
    <row r="11" spans="2:7" x14ac:dyDescent="0.25">
      <c r="B11" s="108" t="s">
        <v>20</v>
      </c>
      <c r="C11" s="108"/>
      <c r="D11" s="129">
        <f>SUM(D10:E10)</f>
        <v>6</v>
      </c>
      <c r="E11" s="130"/>
      <c r="F11" s="22" t="str">
        <f>F10</f>
        <v>4</v>
      </c>
      <c r="G11" s="14">
        <f>SUM(G10:G10)</f>
        <v>34</v>
      </c>
    </row>
    <row r="12" spans="2:7" ht="27" customHeight="1" x14ac:dyDescent="0.25">
      <c r="B12" s="65" t="s">
        <v>220</v>
      </c>
      <c r="C12" s="13" t="s">
        <v>221</v>
      </c>
      <c r="D12" s="13">
        <v>3</v>
      </c>
      <c r="E12" s="13">
        <v>1</v>
      </c>
      <c r="F12" s="63" t="s">
        <v>50</v>
      </c>
      <c r="G12" s="12">
        <v>67</v>
      </c>
    </row>
    <row r="13" spans="2:7" x14ac:dyDescent="0.25">
      <c r="B13" s="108" t="s">
        <v>20</v>
      </c>
      <c r="C13" s="108"/>
      <c r="D13" s="129">
        <f>SUM(D12:E12)</f>
        <v>4</v>
      </c>
      <c r="E13" s="130"/>
      <c r="F13" s="22" t="str">
        <f>F12</f>
        <v>12</v>
      </c>
      <c r="G13" s="14">
        <f>SUM(G12:G12)</f>
        <v>67</v>
      </c>
    </row>
    <row r="14" spans="2:7" ht="27" customHeight="1" x14ac:dyDescent="0.25">
      <c r="B14" s="67" t="s">
        <v>217</v>
      </c>
      <c r="C14" s="21" t="s">
        <v>218</v>
      </c>
      <c r="D14" s="19">
        <v>2</v>
      </c>
      <c r="E14" s="19">
        <v>1</v>
      </c>
      <c r="F14" s="25" t="s">
        <v>50</v>
      </c>
      <c r="G14" s="19">
        <v>38</v>
      </c>
    </row>
    <row r="15" spans="2:7" x14ac:dyDescent="0.25">
      <c r="B15" s="108" t="s">
        <v>20</v>
      </c>
      <c r="C15" s="108"/>
      <c r="D15" s="131">
        <f>SUM(D14:E14)</f>
        <v>3</v>
      </c>
      <c r="E15" s="132"/>
      <c r="F15" s="22" t="str">
        <f>F14</f>
        <v>12</v>
      </c>
      <c r="G15" s="14">
        <f>SUM(G14:G14)</f>
        <v>38</v>
      </c>
    </row>
    <row r="16" spans="2:7" ht="27" customHeight="1" x14ac:dyDescent="0.25">
      <c r="B16" s="65" t="s">
        <v>409</v>
      </c>
      <c r="C16" s="16" t="s">
        <v>219</v>
      </c>
      <c r="D16" s="17">
        <v>2</v>
      </c>
      <c r="E16" s="17">
        <v>1</v>
      </c>
      <c r="F16" s="18" t="s">
        <v>109</v>
      </c>
      <c r="G16" s="17">
        <v>9</v>
      </c>
    </row>
    <row r="17" spans="2:7" x14ac:dyDescent="0.25">
      <c r="B17" s="108" t="s">
        <v>20</v>
      </c>
      <c r="C17" s="108"/>
      <c r="D17" s="131">
        <f>SUM(D16:E16)</f>
        <v>3</v>
      </c>
      <c r="E17" s="132"/>
      <c r="F17" s="22" t="str">
        <f>F16</f>
        <v>8</v>
      </c>
      <c r="G17" s="14">
        <f>SUM(G16:G16)</f>
        <v>9</v>
      </c>
    </row>
    <row r="18" spans="2:7" ht="27" customHeight="1" x14ac:dyDescent="0.25">
      <c r="B18" s="65" t="s">
        <v>222</v>
      </c>
      <c r="C18" s="26" t="s">
        <v>223</v>
      </c>
      <c r="D18" s="27">
        <v>1</v>
      </c>
      <c r="E18" s="27">
        <v>1</v>
      </c>
      <c r="F18" s="28">
        <v>6</v>
      </c>
      <c r="G18" s="29">
        <v>3</v>
      </c>
    </row>
    <row r="19" spans="2:7" x14ac:dyDescent="0.25">
      <c r="B19" s="108" t="s">
        <v>20</v>
      </c>
      <c r="C19" s="108"/>
      <c r="D19" s="129">
        <f>D18+E18</f>
        <v>2</v>
      </c>
      <c r="E19" s="130"/>
      <c r="F19" s="66">
        <f>F18</f>
        <v>6</v>
      </c>
      <c r="G19" s="42">
        <f>G18</f>
        <v>3</v>
      </c>
    </row>
    <row r="20" spans="2:7" x14ac:dyDescent="0.25">
      <c r="B20" s="2"/>
      <c r="C20" s="2"/>
      <c r="D20" s="2"/>
      <c r="E20" s="2"/>
      <c r="F20" s="2"/>
      <c r="G20" s="2"/>
    </row>
    <row r="21" spans="2:7" ht="15" customHeight="1" x14ac:dyDescent="0.25">
      <c r="B21" s="141" t="s">
        <v>135</v>
      </c>
      <c r="C21" s="142"/>
      <c r="D21" s="138">
        <f>D13+D9+D15+D17+D19+D7+D11</f>
        <v>26</v>
      </c>
      <c r="E21" s="139"/>
      <c r="F21" s="65" t="s">
        <v>417</v>
      </c>
      <c r="G21" s="30">
        <f>G13+G9+G15+G17+G19+G7+G11</f>
        <v>207</v>
      </c>
    </row>
    <row r="24" spans="2:7" x14ac:dyDescent="0.25">
      <c r="C24" s="52"/>
    </row>
    <row r="25" spans="2:7" x14ac:dyDescent="0.25">
      <c r="C25" s="53"/>
    </row>
  </sheetData>
  <mergeCells count="21">
    <mergeCell ref="B11:C11"/>
    <mergeCell ref="D11:E11"/>
    <mergeCell ref="B9:C9"/>
    <mergeCell ref="D9:E9"/>
    <mergeCell ref="B2:G2"/>
    <mergeCell ref="B3:G3"/>
    <mergeCell ref="B4:B5"/>
    <mergeCell ref="C4:C5"/>
    <mergeCell ref="D4:G4"/>
    <mergeCell ref="B7:C7"/>
    <mergeCell ref="D7:E7"/>
    <mergeCell ref="D19:E19"/>
    <mergeCell ref="B17:C17"/>
    <mergeCell ref="B15:C15"/>
    <mergeCell ref="B13:C13"/>
    <mergeCell ref="B21:C21"/>
    <mergeCell ref="D21:E21"/>
    <mergeCell ref="D13:E13"/>
    <mergeCell ref="D15:E15"/>
    <mergeCell ref="D17:E17"/>
    <mergeCell ref="B19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INDOOR_led лифт</vt:lpstr>
      <vt:lpstr>АП - Астана ЖК</vt:lpstr>
      <vt:lpstr>АП - Астана БЦ</vt:lpstr>
      <vt:lpstr>АП - Алматы ЖК </vt:lpstr>
      <vt:lpstr>АП - Алматы БЦ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2026-05-06T08:20:37Z</dcterms:modified>
</cp:coreProperties>
</file>